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ryam\Downloads\"/>
    </mc:Choice>
  </mc:AlternateContent>
  <xr:revisionPtr revIDLastSave="0" documentId="13_ncr:1_{5433E77E-6C03-463A-A41F-E7F8198C5E7D}" xr6:coauthVersionLast="47" xr6:coauthVersionMax="47" xr10:uidLastSave="{00000000-0000-0000-0000-000000000000}"/>
  <bookViews>
    <workbookView xWindow="-108" yWindow="-108" windowWidth="23256" windowHeight="13896" tabRatio="500" xr2:uid="{00000000-000D-0000-FFFF-FFFF00000000}"/>
  </bookViews>
  <sheets>
    <sheet name="Read Me" sheetId="1" r:id="rId1"/>
    <sheet name="Monthly Data" sheetId="2" r:id="rId2"/>
    <sheet name="Section 1" sheetId="3" r:id="rId3"/>
    <sheet name="Section 2" sheetId="4" r:id="rId4"/>
    <sheet name="Section 3" sheetId="5" r:id="rId5"/>
    <sheet name="Section 4" sheetId="6" r:id="rId6"/>
    <sheet name="Section 5&amp;6" sheetId="7" r:id="rId7"/>
    <sheet name="Bonus Questions"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2" i="4" l="1"/>
  <c r="C6" i="4"/>
  <c r="C7" i="8"/>
  <c r="C6" i="8"/>
  <c r="E13" i="6"/>
  <c r="F13" i="6"/>
  <c r="D13" i="6"/>
  <c r="E12" i="6"/>
  <c r="F12" i="6"/>
  <c r="D12" i="6"/>
  <c r="D9" i="6"/>
  <c r="E11" i="6"/>
  <c r="F11" i="6"/>
  <c r="D11" i="6"/>
  <c r="C11" i="6"/>
  <c r="E10" i="6"/>
  <c r="F10" i="6"/>
  <c r="D10" i="6"/>
  <c r="C10" i="6"/>
  <c r="D8" i="6"/>
  <c r="E8" i="6"/>
  <c r="F8" i="6"/>
  <c r="E9" i="6"/>
  <c r="F9" i="6"/>
  <c r="E7" i="6"/>
  <c r="F7" i="6"/>
  <c r="D7" i="6"/>
  <c r="C7" i="6"/>
  <c r="E6" i="6"/>
  <c r="F6" i="6"/>
  <c r="D6" i="6"/>
  <c r="F5" i="6"/>
  <c r="E5" i="6"/>
  <c r="D5" i="6"/>
  <c r="C5" i="6"/>
  <c r="F4" i="6"/>
  <c r="E4" i="6"/>
  <c r="D4" i="6"/>
  <c r="C4" i="6"/>
  <c r="J9" i="5"/>
  <c r="C10" i="5"/>
  <c r="N8" i="5"/>
  <c r="D10" i="5"/>
  <c r="E10" i="5"/>
  <c r="F10" i="5"/>
  <c r="G10" i="5"/>
  <c r="H10" i="5"/>
  <c r="I10" i="5"/>
  <c r="J10" i="5"/>
  <c r="K10" i="5"/>
  <c r="L10" i="5"/>
  <c r="M10" i="5"/>
  <c r="N10" i="5"/>
  <c r="E9" i="5"/>
  <c r="F9" i="5"/>
  <c r="G9" i="5"/>
  <c r="H9" i="5"/>
  <c r="I9" i="5"/>
  <c r="K9" i="5"/>
  <c r="L9" i="5"/>
  <c r="M9" i="5"/>
  <c r="N9" i="5"/>
  <c r="D9" i="5"/>
  <c r="N7" i="5"/>
  <c r="I7" i="5"/>
  <c r="J7" i="5"/>
  <c r="K7" i="5"/>
  <c r="L7" i="5"/>
  <c r="M7" i="5"/>
  <c r="K8" i="5"/>
  <c r="L8" i="5"/>
  <c r="M8" i="5"/>
  <c r="H8" i="5"/>
  <c r="I8" i="5"/>
  <c r="J8" i="5"/>
  <c r="D8" i="5"/>
  <c r="E8" i="5"/>
  <c r="F8" i="5"/>
  <c r="G8" i="5"/>
  <c r="D7" i="5"/>
  <c r="E7" i="5"/>
  <c r="F7" i="5"/>
  <c r="G7" i="5"/>
  <c r="H7" i="5"/>
  <c r="C8" i="5"/>
  <c r="C7" i="5"/>
  <c r="D6" i="5"/>
  <c r="E6" i="5"/>
  <c r="F6" i="5"/>
  <c r="G6" i="5"/>
  <c r="H6" i="5"/>
  <c r="I6" i="5"/>
  <c r="J6" i="5"/>
  <c r="K6" i="5"/>
  <c r="L6" i="5"/>
  <c r="M6" i="5"/>
  <c r="N6" i="5"/>
  <c r="C6" i="5"/>
  <c r="D5" i="5"/>
  <c r="E5" i="5"/>
  <c r="F5" i="5"/>
  <c r="G5" i="5"/>
  <c r="H5" i="5"/>
  <c r="I5" i="5"/>
  <c r="J5" i="5"/>
  <c r="K5" i="5"/>
  <c r="L5" i="5"/>
  <c r="M5" i="5"/>
  <c r="N5" i="5"/>
  <c r="C5" i="5"/>
  <c r="D4" i="5"/>
  <c r="E4" i="5"/>
  <c r="F4" i="5"/>
  <c r="G4" i="5"/>
  <c r="H4" i="5"/>
  <c r="I4" i="5"/>
  <c r="J4" i="5"/>
  <c r="K4" i="5"/>
  <c r="L4" i="5"/>
  <c r="M4" i="5"/>
  <c r="N4" i="5"/>
  <c r="C4" i="5"/>
  <c r="C5" i="4"/>
  <c r="C10" i="4"/>
  <c r="C9" i="4"/>
  <c r="C8" i="4"/>
  <c r="C7" i="4"/>
  <c r="C4" i="4"/>
  <c r="F9" i="3"/>
  <c r="C4" i="3"/>
  <c r="E4" i="3"/>
  <c r="F4" i="3" s="1"/>
  <c r="C31" i="2"/>
  <c r="E9" i="3"/>
  <c r="D9" i="3"/>
  <c r="C9" i="3"/>
  <c r="D8" i="3"/>
  <c r="C8" i="3"/>
  <c r="E8" i="3" s="1"/>
  <c r="F8" i="3" s="1"/>
  <c r="D4" i="3"/>
  <c r="O46" i="2"/>
  <c r="O45" i="2"/>
  <c r="O44" i="2"/>
  <c r="O43" i="2"/>
  <c r="O39" i="2"/>
  <c r="O38" i="2"/>
  <c r="O37" i="2"/>
  <c r="O36" i="2"/>
  <c r="M32" i="2"/>
  <c r="L32" i="2"/>
  <c r="N31" i="2"/>
  <c r="M31" i="2"/>
  <c r="N27" i="2"/>
  <c r="N32" i="2" s="1"/>
  <c r="M27" i="2"/>
  <c r="L27" i="2"/>
  <c r="K27" i="2"/>
  <c r="K32" i="2" s="1"/>
  <c r="J27" i="2"/>
  <c r="J32" i="2" s="1"/>
  <c r="I27" i="2"/>
  <c r="I32" i="2" s="1"/>
  <c r="H27" i="2"/>
  <c r="H32" i="2" s="1"/>
  <c r="G27" i="2"/>
  <c r="G32" i="2" s="1"/>
  <c r="F27" i="2"/>
  <c r="F32" i="2" s="1"/>
  <c r="E27" i="2"/>
  <c r="E32" i="2" s="1"/>
  <c r="D27" i="2"/>
  <c r="D32" i="2" s="1"/>
  <c r="C27" i="2"/>
  <c r="C32" i="2" s="1"/>
  <c r="N26" i="2"/>
  <c r="M26" i="2"/>
  <c r="L26" i="2"/>
  <c r="L31" i="2" s="1"/>
  <c r="K26" i="2"/>
  <c r="K31" i="2" s="1"/>
  <c r="J26" i="2"/>
  <c r="J31" i="2" s="1"/>
  <c r="I26" i="2"/>
  <c r="I31" i="2" s="1"/>
  <c r="H26" i="2"/>
  <c r="H31" i="2" s="1"/>
  <c r="G26" i="2"/>
  <c r="G31" i="2" s="1"/>
  <c r="F26" i="2"/>
  <c r="F31" i="2" s="1"/>
  <c r="E26" i="2"/>
  <c r="E31" i="2" s="1"/>
  <c r="D26" i="2"/>
  <c r="D31" i="2" s="1"/>
  <c r="C26" i="2"/>
  <c r="O26" i="2" s="1"/>
  <c r="D6" i="3" s="1"/>
  <c r="O25" i="2"/>
  <c r="O24" i="2"/>
  <c r="O23" i="2"/>
  <c r="O22" i="2"/>
  <c r="O21" i="2"/>
  <c r="O20" i="2"/>
  <c r="O19" i="2"/>
  <c r="O18" i="2"/>
  <c r="O14" i="2"/>
  <c r="C5" i="3" s="1"/>
  <c r="O13" i="2"/>
  <c r="D5" i="3" s="1"/>
  <c r="O12" i="2"/>
  <c r="O11" i="2"/>
  <c r="O7" i="2"/>
  <c r="O6" i="2"/>
  <c r="O5" i="2"/>
  <c r="C11" i="4" l="1"/>
  <c r="C8" i="8"/>
  <c r="O32" i="2"/>
  <c r="C7" i="3" s="1"/>
  <c r="E5" i="3"/>
  <c r="F5" i="3" s="1"/>
  <c r="O27" i="2"/>
  <c r="C6" i="3" s="1"/>
  <c r="E6" i="3" s="1"/>
  <c r="F6" i="3" s="1"/>
  <c r="O31" i="2"/>
  <c r="D7" i="3" s="1"/>
  <c r="E7" i="3" l="1"/>
  <c r="F7" i="3" s="1"/>
</calcChain>
</file>

<file path=xl/sharedStrings.xml><?xml version="1.0" encoding="utf-8"?>
<sst xmlns="http://schemas.openxmlformats.org/spreadsheetml/2006/main" count="233" uniqueCount="138">
  <si>
    <t>Data Workbook — FY2025 (Jan–Dec), Budget vs. Actual</t>
  </si>
  <si>
    <t>Purpose: This workbook contains the historical financial and operating data referenced in the</t>
  </si>
  <si>
    <t>candidate case study packet. Use it to complete the Budget vs. Actual analysis, variance drivers,</t>
  </si>
  <si>
    <t>growth rates, 3-month forecast, and recommendation memo.</t>
  </si>
  <si>
    <t>Sheet guide:</t>
  </si>
  <si>
    <t xml:space="preserve">  • Monthly Data (B vs A) — all Budget vs. Actual line items, Jan–Dec 2025, in $'000 unless noted.</t>
  </si>
  <si>
    <t xml:space="preserve">  • KPI Data — Active Merchants, Transactions, and derived unit economics, Budget vs. Actual.</t>
  </si>
  <si>
    <t xml:space="preserve">  • Candidate Workspace — a blank scaffold (variance %, MoM/YoY growth, 3-month forecast) for you</t>
  </si>
  <si>
    <t xml:space="preserve">    to build your analysis directly in Excel. Formulas, not hardcoded numbers, are expected.</t>
  </si>
  <si>
    <t>Currency: All $ figures in USD thousands ($'000) unless a row label states otherwise.</t>
  </si>
  <si>
    <t>Fiscal year: Calendar year (Jan–Dec 2025). Prior-year (FY2024) comparatives are provided</t>
  </si>
  <si>
    <t xml:space="preserve">  in the Monthly Data sheet for YoY growth calculations.</t>
  </si>
  <si>
    <t>Assumption note: Cash Balance = prior month cash + that month's EBITDA (a simplification;</t>
  </si>
  <si>
    <t>assume no financing activity, capex, or working-capital timing effects other than EBITDA</t>
  </si>
  <si>
    <t>for the purposes of this exercise, starting cash balance of $2,200K as of Jan 1, 2025).</t>
  </si>
  <si>
    <t>Monthly Data — FY2025 Budget vs. Actual (Source: NoqtaPay Candidate Packet, Word doc)</t>
  </si>
  <si>
    <t>1. Revenue ($'000)</t>
  </si>
  <si>
    <t>Metric</t>
  </si>
  <si>
    <t>Jan-25</t>
  </si>
  <si>
    <t>Feb-25</t>
  </si>
  <si>
    <t>Mar-25</t>
  </si>
  <si>
    <t>Apr-25</t>
  </si>
  <si>
    <t>May-25</t>
  </si>
  <si>
    <t>Jun-25</t>
  </si>
  <si>
    <t>Jul-25</t>
  </si>
  <si>
    <t>Aug-25</t>
  </si>
  <si>
    <t>Sep-25</t>
  </si>
  <si>
    <t>Oct-25</t>
  </si>
  <si>
    <t>Nov-25</t>
  </si>
  <si>
    <t>Dec-25</t>
  </si>
  <si>
    <t>FY Total/Avg</t>
  </si>
  <si>
    <t>Budget</t>
  </si>
  <si>
    <t>Actual</t>
  </si>
  <si>
    <t>LY '2024</t>
  </si>
  <si>
    <t>2. Gross Profit &amp; Gross Margin</t>
  </si>
  <si>
    <t>Gross Margin % - Budget</t>
  </si>
  <si>
    <t>Gross Margin % - Actual</t>
  </si>
  <si>
    <t>Gross Profit - Budget</t>
  </si>
  <si>
    <t>Gross Profit - Actual</t>
  </si>
  <si>
    <t>3. Operating Expenses ($'000)</t>
  </si>
  <si>
    <t>Salaries &amp; Benefits - Budget</t>
  </si>
  <si>
    <t>Salaries &amp; Benefits - Actual</t>
  </si>
  <si>
    <t>Marketing - Budget</t>
  </si>
  <si>
    <t>Marketing - Actual</t>
  </si>
  <si>
    <t>Software &amp; Tools - Budget</t>
  </si>
  <si>
    <t>Software &amp; Tools - Actual</t>
  </si>
  <si>
    <t>G&amp;A - Budget</t>
  </si>
  <si>
    <t>G&amp;A - Actual</t>
  </si>
  <si>
    <t>Total OpEx - Budget</t>
  </si>
  <si>
    <t>Total OpEx - Actual</t>
  </si>
  <si>
    <t>4. EBITDA ($'000)</t>
  </si>
  <si>
    <t>5. Cash Balance ($'000, EOM) &amp; Headcount</t>
  </si>
  <si>
    <t>Cash - Budget</t>
  </si>
  <si>
    <t>Cash - Actual</t>
  </si>
  <si>
    <t>Headcount - Budget</t>
  </si>
  <si>
    <t>Headcount - Actual</t>
  </si>
  <si>
    <t>6. Active Merchants &amp; Transactions ('000)</t>
  </si>
  <si>
    <t>Active Merchants - Budget</t>
  </si>
  <si>
    <t>Active Merchants - Actual</t>
  </si>
  <si>
    <t>Transactions, '000 - Budget</t>
  </si>
  <si>
    <t>Transactions, '000 - Actual</t>
  </si>
  <si>
    <t>Section 1: Budget vs. Actual Analysis — Full-Year Summary</t>
  </si>
  <si>
    <t xml:space="preserve">Budget </t>
  </si>
  <si>
    <t>Variance ($)</t>
  </si>
  <si>
    <t>Variance (%)</t>
  </si>
  <si>
    <t>Revenue</t>
  </si>
  <si>
    <t>Gross Profit ($'000)</t>
  </si>
  <si>
    <t>Total OpEx ($'000)</t>
  </si>
  <si>
    <t>EBITDA ($'000)</t>
  </si>
  <si>
    <t>Cash Balance, EOM ($'000)</t>
  </si>
  <si>
    <t>Headcount, EOM</t>
  </si>
  <si>
    <t>Note: Cash Balance &amp; Headcount are December (EOM) values, not annual totals — all other rows are FY totals.</t>
  </si>
  <si>
    <t>Key observations expected from candidates:</t>
  </si>
  <si>
    <t>Section 2: Variance Driver Analysis — EBITDA Bridge</t>
  </si>
  <si>
    <t>Bridge Item</t>
  </si>
  <si>
    <t>Amount ($'000)</t>
  </si>
  <si>
    <t>Full-Year EBITDA - Budget</t>
  </si>
  <si>
    <t>Revenue Shortfall Impact</t>
  </si>
  <si>
    <t>Gross Margin Compression Impact</t>
  </si>
  <si>
    <t>Marketing Overspend Impact</t>
  </si>
  <si>
    <t>Salary/Headcount Overspend Impact</t>
  </si>
  <si>
    <t>Software Overspend Impact</t>
  </si>
  <si>
    <t>G&amp;A Overspend Impact</t>
  </si>
  <si>
    <t>Full-Year EBITDA - Actual (should tie out)</t>
  </si>
  <si>
    <t>Section 3: Revenue Variance &amp; Growth Rates</t>
  </si>
  <si>
    <t>Revenue - Budget ($'000)</t>
  </si>
  <si>
    <t>Revenue - Actual ($'000)</t>
  </si>
  <si>
    <t>Revenue - LY'2024 ($'000)</t>
  </si>
  <si>
    <t>$ Variance (Actual - Budget)</t>
  </si>
  <si>
    <t>% Variance (Actual vs Budget)</t>
  </si>
  <si>
    <t>MoM Growth % (Actual)</t>
  </si>
  <si>
    <t>YoY Growth % (Actual vs FY24)</t>
  </si>
  <si>
    <t xml:space="preserve">Section 4: 3-Month Forecast (Jan–Mar 2026) </t>
  </si>
  <si>
    <t>Jan-26</t>
  </si>
  <si>
    <t>Feb-26</t>
  </si>
  <si>
    <t>Mar-26</t>
  </si>
  <si>
    <t>Revenue ($'000)</t>
  </si>
  <si>
    <t>Gross Margin % (assumption)</t>
  </si>
  <si>
    <t>Salaries ($'000)</t>
  </si>
  <si>
    <t>Marketing ($'000)</t>
  </si>
  <si>
    <t>Marketing % of Revenue  (assumption)</t>
  </si>
  <si>
    <t>Software ($'000)</t>
  </si>
  <si>
    <t>G&amp;A ($'000)</t>
  </si>
  <si>
    <t>Section 5: Cost Optimization Recommendations For Marketing</t>
  </si>
  <si>
    <t>Recommendation</t>
  </si>
  <si>
    <t>Estimated Annualized Impact</t>
  </si>
  <si>
    <t>Section 6: Annual EBITDA Target Assessment</t>
  </si>
  <si>
    <t>Bonus Questions: Cash Runway Assessment</t>
  </si>
  <si>
    <t>Rounding</t>
  </si>
  <si>
    <t>1- Cut spend on underperforming marketing channels that grew fastest in 2025 without a proportional increase in new merchants.</t>
  </si>
  <si>
    <t>Follow through on the planned reduction of Marketing % of Revenue from 28% to 20% by end of Q1 2026, and hold it there.</t>
  </si>
  <si>
    <t>Set a maximum Customer Acquisition Cost (CAC) per channel and reallocate budget only to channels below that cap.</t>
  </si>
  <si>
    <t>}</t>
  </si>
  <si>
    <t>Cash Balance, EOM (Dec-25)</t>
  </si>
  <si>
    <t>Value</t>
  </si>
  <si>
    <t>Note</t>
  </si>
  <si>
    <t>Average Monthly Cash Burn (Oct-Dec)</t>
  </si>
  <si>
    <t>Cash Runway (Months)</t>
  </si>
  <si>
    <t>Board Minimum Runway Target (Months)</t>
  </si>
  <si>
    <r>
      <t>Assumption 1:</t>
    </r>
    <r>
      <rPr>
        <b/>
        <i/>
        <sz val="9"/>
        <color rgb="FF7030A0"/>
        <rFont val="Arial"/>
        <family val="2"/>
      </rPr>
      <t xml:space="preserve"> The gap between actual and budget grew every month -&gt; from -1% in January to -23.5% by December.</t>
    </r>
  </si>
  <si>
    <r>
      <t xml:space="preserve">Assumption 2: </t>
    </r>
    <r>
      <rPr>
        <b/>
        <i/>
        <sz val="9"/>
        <color rgb="FF7030A0"/>
        <rFont val="Arial"/>
        <family val="2"/>
      </rPr>
      <t>MoM growth was strongest in February and weakest in August, showing momentum faded through the year rather than staying steady.</t>
    </r>
  </si>
  <si>
    <r>
      <t>Assumption 3:</t>
    </r>
    <r>
      <rPr>
        <b/>
        <i/>
        <sz val="9"/>
        <color rgb="FF7030A0"/>
        <rFont val="Arial"/>
        <family val="2"/>
      </rPr>
      <t xml:space="preserve"> YoY growth looks strong and steady at 38.9% but this hides the bigger issue: the budget expected even faster growth, which is why the gap kept widening despite real growth happening.</t>
    </r>
  </si>
  <si>
    <r>
      <t>Assumption 4:</t>
    </r>
    <r>
      <rPr>
        <b/>
        <i/>
        <sz val="9"/>
        <color rgb="FF7030A0"/>
        <rFont val="Arial"/>
        <family val="2"/>
      </rPr>
      <t xml:space="preserve"> The slowdown timing lines up with the Q2 product launch and Q3 competitor pricing mentioned in the scenario.</t>
    </r>
  </si>
  <si>
    <r>
      <t xml:space="preserve">Assumption 5: </t>
    </r>
    <r>
      <rPr>
        <b/>
        <i/>
        <sz val="9"/>
        <color rgb="FF7030A0"/>
        <rFont val="Arial"/>
        <family val="2"/>
      </rPr>
      <t>This is a worsening trend against budget, not against last year -YoY growth looks healthy, but the budget gap points to a real, growing execution problem that needs fixing.</t>
    </r>
  </si>
  <si>
    <r>
      <t xml:space="preserve">Assumption 1: </t>
    </r>
    <r>
      <rPr>
        <b/>
        <i/>
        <sz val="9"/>
        <color rgb="FF7030A0"/>
        <rFont val="Arial"/>
        <family val="2"/>
      </rPr>
      <t>Revenue drop was the biggest driver of the loss (-$658k).</t>
    </r>
  </si>
  <si>
    <r>
      <t xml:space="preserve">Assumption 3: </t>
    </r>
    <r>
      <rPr>
        <b/>
        <i/>
        <sz val="9"/>
        <color rgb="FF7030A0"/>
        <rFont val="Arial"/>
        <family val="2"/>
      </rPr>
      <t>Marketing overspend was the largest cost problem (-$453K), with little payoff in new merchants.</t>
    </r>
  </si>
  <si>
    <r>
      <t xml:space="preserve">Assumption 4: </t>
    </r>
    <r>
      <rPr>
        <b/>
        <i/>
        <sz val="9"/>
        <color rgb="FF7030A0"/>
        <rFont val="Arial"/>
        <family val="2"/>
      </rPr>
      <t>Salary overspend (-$388K) came from hiring faster than planned.</t>
    </r>
  </si>
  <si>
    <r>
      <t xml:space="preserve">Assumption 5: </t>
    </r>
    <r>
      <rPr>
        <b/>
        <i/>
        <sz val="9"/>
        <color rgb="FF7030A0"/>
        <rFont val="Arial"/>
        <family val="2"/>
      </rPr>
      <t>Revenue and margin issues together explain over half the total gap - bigger than all the cost overruns combined.</t>
    </r>
  </si>
  <si>
    <r>
      <t xml:space="preserve">Assumption 1: </t>
    </r>
    <r>
      <rPr>
        <b/>
        <i/>
        <sz val="9"/>
        <color rgb="FF7030A0"/>
        <rFont val="Arial"/>
        <family val="2"/>
      </rPr>
      <t>Revenue came in 12% below budget, mainly due to slower merchant onboarding and stronger competition.</t>
    </r>
  </si>
  <si>
    <r>
      <t xml:space="preserve">Assumption 2: </t>
    </r>
    <r>
      <rPr>
        <b/>
        <i/>
        <sz val="9"/>
        <color rgb="FF7030A0"/>
        <rFont val="Arial"/>
        <family val="2"/>
      </rPr>
      <t>Gross Margin dropped from 70% to 60% because BNPL (which costs more) became a bigger share of revenue.</t>
    </r>
  </si>
  <si>
    <r>
      <t xml:space="preserve">Assumption 3: </t>
    </r>
    <r>
      <rPr>
        <b/>
        <i/>
        <sz val="9"/>
        <color rgb="FF7030A0"/>
        <rFont val="Arial"/>
        <family val="2"/>
      </rPr>
      <t>Marketing spend grew much faster than revenue, but it didn't bring in more merchants than planned.</t>
    </r>
  </si>
  <si>
    <r>
      <t xml:space="preserve">Assumption 4: </t>
    </r>
    <r>
      <rPr>
        <b/>
        <i/>
        <sz val="9"/>
        <color rgb="FF7030A0"/>
        <rFont val="Arial"/>
        <family val="2"/>
      </rPr>
      <t>Headcount grew ahead of plan (62 vs. 55), adding cost pressure on top of the revenue miss.</t>
    </r>
  </si>
  <si>
    <r>
      <t xml:space="preserve">Assumption 5: </t>
    </r>
    <r>
      <rPr>
        <b/>
        <i/>
        <sz val="9"/>
        <color rgb="FF7030A0"/>
        <rFont val="Arial"/>
        <family val="2"/>
      </rPr>
      <t>Cash is burning faster than budgeted, which puts pressure on runway before the Series B round.</t>
    </r>
  </si>
  <si>
    <r>
      <t>Assumption 2:</t>
    </r>
    <r>
      <rPr>
        <b/>
        <i/>
        <sz val="9"/>
        <color rgb="FF7030A0"/>
        <rFont val="Arial"/>
        <family val="2"/>
      </rPr>
      <t xml:space="preserve"> Margin decline was the second biggest driver (-$388K).</t>
    </r>
  </si>
  <si>
    <r>
      <t>Recommend whether</t>
    </r>
    <r>
      <rPr>
        <b/>
        <sz val="10.5"/>
        <color rgb="FFFF0000"/>
        <rFont val="Times New Roman"/>
        <family val="1"/>
      </rPr>
      <t xml:space="preserve"> FinTechCo</t>
    </r>
    <r>
      <rPr>
        <b/>
        <sz val="10.5"/>
        <color rgb="FFC00000"/>
        <rFont val="Times New Roman"/>
        <family val="1"/>
        <charset val="1"/>
      </rPr>
      <t xml:space="preserve"> should draw on the $1,500K credit facility and under what circumstances.</t>
    </r>
  </si>
  <si>
    <r>
      <t xml:space="preserve"> </t>
    </r>
    <r>
      <rPr>
        <b/>
        <sz val="12"/>
        <color theme="1"/>
        <rFont val="Calibri"/>
        <family val="2"/>
      </rPr>
      <t xml:space="preserve"> With only </t>
    </r>
    <r>
      <rPr>
        <b/>
        <sz val="12"/>
        <color rgb="FFFF0000"/>
        <rFont val="Calibri"/>
        <family val="2"/>
      </rPr>
      <t>4.2</t>
    </r>
    <r>
      <rPr>
        <b/>
        <sz val="12"/>
        <color theme="1"/>
        <rFont val="Calibri"/>
        <family val="2"/>
      </rPr>
      <t xml:space="preserve"> months of runway against the Board's </t>
    </r>
    <r>
      <rPr>
        <b/>
        <sz val="12"/>
        <color rgb="FFFF0000"/>
        <rFont val="Calibri"/>
        <family val="2"/>
      </rPr>
      <t>12-month target</t>
    </r>
    <r>
      <rPr>
        <b/>
        <sz val="12"/>
        <color theme="1"/>
        <rFont val="Calibri"/>
        <family val="2"/>
      </rPr>
      <t xml:space="preserve">, </t>
    </r>
    <r>
      <rPr>
        <b/>
        <sz val="12"/>
        <color rgb="FFFF0000"/>
        <rFont val="Calibri"/>
        <family val="2"/>
      </rPr>
      <t>FinTechCo</t>
    </r>
    <r>
      <rPr>
        <b/>
        <sz val="12"/>
        <color theme="1"/>
        <rFont val="Calibri"/>
        <family val="2"/>
      </rPr>
      <t xml:space="preserve"> should draw part of the $1,500K credit facility now as a precaution -- enough to extend runway to a safer level — rather than wait and risk running out of cash. At the same time, the company should move quickly on the Marketing and headcount cost cuts from Section 5, so future draws become less likely.</t>
    </r>
  </si>
  <si>
    <r>
      <rPr>
        <b/>
        <sz val="11"/>
        <color rgb="FFFF0000"/>
        <rFont val="Calibri"/>
        <family val="2"/>
      </rPr>
      <t>FinTechCo</t>
    </r>
    <r>
      <rPr>
        <b/>
        <sz val="11"/>
        <color theme="1"/>
        <rFont val="Calibri"/>
        <family val="2"/>
      </rPr>
      <t xml:space="preserve"> is improving but still hasn't reached EBITDA </t>
    </r>
    <r>
      <rPr>
        <b/>
        <sz val="11"/>
        <color rgb="FFFF0000"/>
        <rFont val="Calibri"/>
        <family val="2"/>
      </rPr>
      <t>breakeven</t>
    </r>
    <r>
      <rPr>
        <b/>
        <sz val="11"/>
        <color theme="1"/>
        <rFont val="Calibri"/>
        <family val="2"/>
      </rPr>
      <t xml:space="preserve"> by March 2026 (-$135K). If this pace continues (~$19K improvement per month), </t>
    </r>
    <r>
      <rPr>
        <b/>
        <sz val="11"/>
        <color rgb="FFFF0000"/>
        <rFont val="Calibri"/>
        <family val="2"/>
      </rPr>
      <t>breakeven should arrive around Q4 2026</t>
    </r>
    <r>
      <rPr>
        <b/>
        <sz val="11"/>
        <color theme="1"/>
        <rFont val="Calibri"/>
        <family val="2"/>
      </rPr>
      <t>.</t>
    </r>
    <r>
      <rPr>
        <b/>
        <sz val="11"/>
        <color theme="7"/>
        <rFont val="Calibri"/>
        <family val="2"/>
      </rPr>
      <t xml:space="preserve"> </t>
    </r>
    <r>
      <rPr>
        <b/>
        <sz val="11"/>
        <color theme="3"/>
        <rFont val="Calibri"/>
        <family val="2"/>
      </rPr>
      <t>But this only holds if costs stay controlled — extra hiring beyond the Q1 plan or rising marketing spend could stall this progress and push breakeven into 2027 or later</t>
    </r>
  </si>
  <si>
    <r>
      <rPr>
        <b/>
        <sz val="16"/>
        <color rgb="FFFF0000"/>
        <rFont val="Arial"/>
        <family val="2"/>
      </rPr>
      <t>FinTechCo</t>
    </r>
    <r>
      <rPr>
        <b/>
        <sz val="16"/>
        <color rgb="FF1F3864"/>
        <rFont val="Arial"/>
        <family val="2"/>
        <charset val="1"/>
      </rPr>
      <t xml:space="preserve"> — FP&amp;A Junior Analyst Case Study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</si>
</sst>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quot;($&quot;#,##0\);\-"/>
    <numFmt numFmtId="165" formatCode="0.0%"/>
    <numFmt numFmtId="166" formatCode="#,##0;\(#,##0\);\-"/>
    <numFmt numFmtId="167" formatCode="d\-mmm"/>
    <numFmt numFmtId="168" formatCode="_(* #,##0.00_);_(* \(#,##0.00\);_(* \-??_);_(@_)"/>
    <numFmt numFmtId="169" formatCode="0.0"/>
    <numFmt numFmtId="170" formatCode="\$#,##0.00;&quot;($&quot;#,##0.00\);\-"/>
    <numFmt numFmtId="171" formatCode="[$$-C09]#,##0"/>
  </numFmts>
  <fonts count="34" x14ac:knownFonts="1">
    <font>
      <sz val="11"/>
      <color theme="1"/>
      <name val="Calibri"/>
      <family val="2"/>
      <charset val="1"/>
    </font>
    <font>
      <b/>
      <sz val="16"/>
      <color rgb="FF1F3864"/>
      <name val="Arial"/>
      <family val="2"/>
      <charset val="1"/>
    </font>
    <font>
      <b/>
      <sz val="12"/>
      <name val="Arial"/>
      <family val="2"/>
      <charset val="1"/>
    </font>
    <font>
      <sz val="10"/>
      <name val="Arial"/>
      <family val="2"/>
      <charset val="1"/>
    </font>
    <font>
      <b/>
      <sz val="11"/>
      <name val="Cambria"/>
      <family val="1"/>
    </font>
    <font>
      <b/>
      <sz val="12"/>
      <name val="Cambria"/>
      <family val="1"/>
    </font>
    <font>
      <b/>
      <sz val="11"/>
      <color rgb="FFFFFFFF"/>
      <name val="Cambria"/>
      <family val="1"/>
    </font>
    <font>
      <sz val="11"/>
      <name val="Cambria"/>
      <family val="1"/>
    </font>
    <font>
      <b/>
      <sz val="11"/>
      <name val="Arial"/>
      <family val="2"/>
      <charset val="1"/>
    </font>
    <font>
      <b/>
      <sz val="11"/>
      <color rgb="FFFFFFFF"/>
      <name val="Arial"/>
      <family val="2"/>
      <charset val="1"/>
    </font>
    <font>
      <sz val="11"/>
      <color rgb="FFC00000"/>
      <name val="Calibri"/>
      <family val="2"/>
      <charset val="1"/>
    </font>
    <font>
      <i/>
      <sz val="9"/>
      <color rgb="FF808080"/>
      <name val="Cambria"/>
      <family val="1"/>
    </font>
    <font>
      <b/>
      <sz val="10.5"/>
      <color theme="1"/>
      <name val="Times New Roman"/>
      <family val="1"/>
      <charset val="1"/>
    </font>
    <font>
      <sz val="11"/>
      <color theme="1"/>
      <name val="Bodoni MT"/>
      <family val="1"/>
      <charset val="1"/>
    </font>
    <font>
      <sz val="10"/>
      <color theme="1"/>
      <name val="Times New Roman"/>
      <family val="1"/>
      <charset val="1"/>
    </font>
    <font>
      <b/>
      <sz val="9"/>
      <color rgb="FFFFFFFF"/>
      <name val="Times New Roman"/>
      <family val="1"/>
      <charset val="1"/>
    </font>
    <font>
      <sz val="10.5"/>
      <color theme="1"/>
      <name val="Times New Roman"/>
      <family val="1"/>
      <charset val="1"/>
    </font>
    <font>
      <b/>
      <sz val="11"/>
      <color theme="1"/>
      <name val="Calibri"/>
      <family val="2"/>
      <charset val="1"/>
    </font>
    <font>
      <b/>
      <sz val="10.5"/>
      <color rgb="FFC00000"/>
      <name val="Times New Roman"/>
      <family val="1"/>
      <charset val="1"/>
    </font>
    <font>
      <sz val="11"/>
      <color theme="1"/>
      <name val="Calibri"/>
      <family val="2"/>
      <charset val="1"/>
    </font>
    <font>
      <sz val="11"/>
      <color theme="4"/>
      <name val="Calibri"/>
      <family val="2"/>
    </font>
    <font>
      <b/>
      <sz val="11"/>
      <color theme="1"/>
      <name val="Calibri"/>
      <family val="2"/>
    </font>
    <font>
      <b/>
      <sz val="11"/>
      <color rgb="FFFF0000"/>
      <name val="Calibri"/>
      <family val="2"/>
    </font>
    <font>
      <b/>
      <sz val="11"/>
      <color theme="7"/>
      <name val="Calibri"/>
      <family val="2"/>
    </font>
    <font>
      <b/>
      <sz val="11"/>
      <color theme="3"/>
      <name val="Calibri"/>
      <family val="2"/>
    </font>
    <font>
      <sz val="12"/>
      <color theme="1"/>
      <name val="Calibri"/>
      <family val="2"/>
      <charset val="1"/>
    </font>
    <font>
      <b/>
      <sz val="12"/>
      <color theme="1"/>
      <name val="Calibri"/>
      <family val="2"/>
    </font>
    <font>
      <b/>
      <sz val="12"/>
      <color rgb="FFFF0000"/>
      <name val="Calibri"/>
      <family val="2"/>
    </font>
    <font>
      <b/>
      <i/>
      <sz val="9"/>
      <color rgb="FF808080"/>
      <name val="Arial"/>
      <family val="2"/>
      <charset val="178"/>
    </font>
    <font>
      <b/>
      <i/>
      <sz val="9"/>
      <color rgb="FF7030A0"/>
      <name val="Arial"/>
      <family val="2"/>
    </font>
    <font>
      <b/>
      <sz val="11"/>
      <color theme="1"/>
      <name val="Calibri"/>
      <family val="2"/>
      <charset val="178"/>
    </font>
    <font>
      <b/>
      <sz val="10.5"/>
      <color rgb="FFFF0000"/>
      <name val="Times New Roman"/>
      <family val="1"/>
    </font>
    <font>
      <b/>
      <sz val="16"/>
      <color rgb="FFFF0000"/>
      <name val="Arial"/>
      <family val="2"/>
    </font>
    <font>
      <b/>
      <sz val="16"/>
      <color rgb="FF1F3864"/>
      <name val="Arial"/>
      <family val="2"/>
    </font>
  </fonts>
  <fills count="6">
    <fill>
      <patternFill patternType="none"/>
    </fill>
    <fill>
      <patternFill patternType="gray125"/>
    </fill>
    <fill>
      <patternFill patternType="solid">
        <fgColor rgb="FFD9E1F2"/>
        <bgColor rgb="FFF2F2F2"/>
      </patternFill>
    </fill>
    <fill>
      <patternFill patternType="solid">
        <fgColor rgb="FF1F3864"/>
        <bgColor rgb="FF333333"/>
      </patternFill>
    </fill>
    <fill>
      <patternFill patternType="solid">
        <fgColor theme="0" tint="-4.9989318521683403E-2"/>
        <bgColor rgb="FFFFFFFF"/>
      </patternFill>
    </fill>
    <fill>
      <patternFill patternType="solid">
        <fgColor rgb="FFFFC000"/>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medium">
        <color auto="1"/>
      </left>
      <right style="medium">
        <color auto="1"/>
      </right>
      <top style="medium">
        <color auto="1"/>
      </top>
      <bottom style="medium">
        <color auto="1"/>
      </bottom>
      <diagonal/>
    </border>
    <border>
      <left style="thin">
        <color rgb="FFBFBFBF"/>
      </left>
      <right style="thin">
        <color rgb="FFBFBFBF"/>
      </right>
      <top/>
      <bottom style="thin">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thin">
        <color rgb="FFBFBFBF"/>
      </left>
      <right style="thin">
        <color rgb="FFBFBFBF"/>
      </right>
      <top style="thin">
        <color rgb="FFBFBFBF"/>
      </top>
      <bottom/>
      <diagonal/>
    </border>
  </borders>
  <cellStyleXfs count="3">
    <xf numFmtId="0" fontId="0" fillId="0" borderId="0"/>
    <xf numFmtId="168" fontId="19" fillId="0" borderId="0"/>
    <xf numFmtId="9" fontId="19" fillId="0" borderId="0"/>
  </cellStyleXfs>
  <cellXfs count="56">
    <xf numFmtId="0" fontId="0" fillId="0" borderId="0" xfId="0"/>
    <xf numFmtId="0" fontId="2" fillId="0" borderId="0" xfId="0" applyFont="1"/>
    <xf numFmtId="0" fontId="3" fillId="0" borderId="0" xfId="0" applyFont="1"/>
    <xf numFmtId="0" fontId="4" fillId="2" borderId="0" xfId="0" applyFont="1" applyFill="1"/>
    <xf numFmtId="0" fontId="0" fillId="2" borderId="0" xfId="0" applyFill="1"/>
    <xf numFmtId="0" fontId="5" fillId="0" borderId="0" xfId="0" applyFont="1"/>
    <xf numFmtId="0" fontId="6" fillId="3" borderId="0" xfId="0" applyFont="1" applyFill="1"/>
    <xf numFmtId="0" fontId="7" fillId="0" borderId="0" xfId="0" applyFont="1"/>
    <xf numFmtId="164" fontId="7" fillId="0" borderId="0" xfId="0" applyNumberFormat="1" applyFont="1"/>
    <xf numFmtId="164" fontId="4" fillId="0" borderId="0" xfId="0" applyNumberFormat="1" applyFont="1"/>
    <xf numFmtId="165" fontId="7" fillId="0" borderId="0" xfId="0" applyNumberFormat="1" applyFont="1"/>
    <xf numFmtId="165" fontId="4" fillId="0" borderId="0" xfId="0" applyNumberFormat="1" applyFont="1"/>
    <xf numFmtId="0" fontId="4" fillId="0" borderId="0" xfId="0" applyFont="1"/>
    <xf numFmtId="0" fontId="8" fillId="2" borderId="0" xfId="0" applyFont="1" applyFill="1"/>
    <xf numFmtId="0" fontId="9" fillId="3" borderId="1" xfId="0" applyFont="1" applyFill="1" applyBorder="1" applyAlignment="1">
      <alignment horizontal="center" vertical="center"/>
    </xf>
    <xf numFmtId="0" fontId="3" fillId="0" borderId="1" xfId="0" applyFont="1" applyBorder="1"/>
    <xf numFmtId="164" fontId="0" fillId="0" borderId="0" xfId="0" applyNumberFormat="1"/>
    <xf numFmtId="164" fontId="0" fillId="0" borderId="1" xfId="0" applyNumberFormat="1" applyBorder="1"/>
    <xf numFmtId="164" fontId="10" fillId="0" borderId="1" xfId="0" applyNumberFormat="1" applyFont="1" applyBorder="1"/>
    <xf numFmtId="165" fontId="10" fillId="0" borderId="1" xfId="2" applyNumberFormat="1" applyFont="1" applyBorder="1"/>
    <xf numFmtId="165" fontId="19" fillId="0" borderId="1" xfId="2" applyNumberFormat="1" applyBorder="1"/>
    <xf numFmtId="3" fontId="0" fillId="0" borderId="1" xfId="0" applyNumberFormat="1" applyBorder="1"/>
    <xf numFmtId="166" fontId="0" fillId="0" borderId="1" xfId="0" applyNumberFormat="1" applyBorder="1"/>
    <xf numFmtId="0" fontId="11" fillId="0" borderId="0" xfId="0" applyFont="1"/>
    <xf numFmtId="0" fontId="12" fillId="0" borderId="0" xfId="0" applyFont="1" applyAlignment="1">
      <alignment vertical="center"/>
    </xf>
    <xf numFmtId="0" fontId="13" fillId="0" borderId="0" xfId="0" applyFont="1"/>
    <xf numFmtId="167" fontId="9" fillId="3" borderId="1" xfId="0" applyNumberFormat="1" applyFont="1" applyFill="1" applyBorder="1" applyAlignment="1">
      <alignment horizontal="center" vertical="center"/>
    </xf>
    <xf numFmtId="10" fontId="19" fillId="0" borderId="0" xfId="2" applyNumberFormat="1"/>
    <xf numFmtId="165" fontId="19" fillId="0" borderId="0" xfId="2" applyNumberFormat="1"/>
    <xf numFmtId="168" fontId="19" fillId="0" borderId="0" xfId="1"/>
    <xf numFmtId="0" fontId="14" fillId="0" borderId="0" xfId="0" applyFont="1" applyAlignment="1">
      <alignment horizontal="center" vertical="center" wrapText="1"/>
    </xf>
    <xf numFmtId="0" fontId="16" fillId="0" borderId="0" xfId="0" applyFont="1"/>
    <xf numFmtId="0" fontId="18" fillId="0" borderId="0" xfId="0" applyFont="1" applyAlignment="1">
      <alignment wrapText="1"/>
    </xf>
    <xf numFmtId="0" fontId="9" fillId="3" borderId="3" xfId="0" applyFont="1" applyFill="1" applyBorder="1" applyAlignment="1">
      <alignment horizontal="center" vertical="center"/>
    </xf>
    <xf numFmtId="0" fontId="0" fillId="5" borderId="0" xfId="0" applyFill="1"/>
    <xf numFmtId="164" fontId="0" fillId="5" borderId="0" xfId="0" applyNumberFormat="1" applyFill="1"/>
    <xf numFmtId="170" fontId="0" fillId="0" borderId="1" xfId="0" applyNumberFormat="1" applyBorder="1"/>
    <xf numFmtId="9" fontId="19" fillId="0" borderId="0" xfId="2"/>
    <xf numFmtId="49" fontId="9" fillId="3" borderId="1" xfId="0" applyNumberFormat="1" applyFont="1" applyFill="1" applyBorder="1" applyAlignment="1">
      <alignment horizontal="center" vertical="center"/>
    </xf>
    <xf numFmtId="0" fontId="20" fillId="0" borderId="0" xfId="0" applyFont="1"/>
    <xf numFmtId="170" fontId="19" fillId="0" borderId="0" xfId="2" applyNumberFormat="1"/>
    <xf numFmtId="0" fontId="15" fillId="3" borderId="4" xfId="0" applyFont="1" applyFill="1" applyBorder="1" applyAlignment="1">
      <alignment horizontal="center" vertical="center" wrapText="1"/>
    </xf>
    <xf numFmtId="0" fontId="15" fillId="3" borderId="5" xfId="0" applyFont="1" applyFill="1" applyBorder="1" applyAlignment="1">
      <alignment horizontal="center" vertical="center" wrapText="1"/>
    </xf>
    <xf numFmtId="164" fontId="0" fillId="0" borderId="6" xfId="0" applyNumberFormat="1" applyBorder="1"/>
    <xf numFmtId="171" fontId="0" fillId="0" borderId="6" xfId="0" applyNumberFormat="1" applyBorder="1" applyAlignment="1">
      <alignment horizontal="center" vertical="center"/>
    </xf>
    <xf numFmtId="171" fontId="0" fillId="0" borderId="0" xfId="0" applyNumberFormat="1" applyAlignment="1">
      <alignment horizontal="center" vertical="center"/>
    </xf>
    <xf numFmtId="0" fontId="21" fillId="0" borderId="0" xfId="0" applyFont="1" applyAlignment="1">
      <alignment wrapText="1"/>
    </xf>
    <xf numFmtId="171" fontId="0" fillId="0" borderId="0" xfId="0" applyNumberFormat="1"/>
    <xf numFmtId="0" fontId="21" fillId="0" borderId="0" xfId="0" applyFont="1"/>
    <xf numFmtId="0" fontId="17" fillId="0" borderId="0" xfId="0" applyFont="1" applyAlignment="1">
      <alignment horizontal="center" vertical="center"/>
    </xf>
    <xf numFmtId="0" fontId="28" fillId="0" borderId="0" xfId="0" applyFont="1"/>
    <xf numFmtId="0" fontId="30" fillId="0" borderId="0" xfId="0" applyFont="1"/>
    <xf numFmtId="0" fontId="25" fillId="0" borderId="0" xfId="0" applyFont="1" applyAlignment="1">
      <alignment horizontal="left" vertical="center" wrapText="1"/>
    </xf>
    <xf numFmtId="169" fontId="17" fillId="4" borderId="2" xfId="0" applyNumberFormat="1" applyFont="1" applyFill="1" applyBorder="1" applyAlignment="1">
      <alignment horizontal="center"/>
    </xf>
    <xf numFmtId="10" fontId="4" fillId="0" borderId="0" xfId="0" applyNumberFormat="1" applyFont="1"/>
    <xf numFmtId="0" fontId="33" fillId="0" borderId="0" xfId="0" applyFont="1"/>
  </cellXfs>
  <cellStyles count="3">
    <cellStyle name="Comma" xfId="1" builtinId="3"/>
    <cellStyle name="Normal" xfId="0" builtinId="0"/>
    <cellStyle name="Percent" xfId="2" builtinId="5"/>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71" formatCode="[$$-C09]#,##0"/>
      <alignment horizontal="center" vertical="center" textRotation="0" wrapText="0" indent="0" justifyLastLine="0" shrinkToFit="0" readingOrder="0"/>
      <border diagonalUp="0" diagonalDown="0" outline="0">
        <left style="thin">
          <color rgb="FFBFBFBF"/>
        </left>
        <right style="thin">
          <color rgb="FFBFBFBF"/>
        </right>
        <top style="thin">
          <color rgb="FFBFBFBF"/>
        </top>
        <bottom/>
      </border>
    </dxf>
    <dxf>
      <numFmt numFmtId="164" formatCode="\$#,##0;&quot;($&quot;#,##0\);\-"/>
      <border diagonalUp="0" diagonalDown="0">
        <left style="thin">
          <color rgb="FFBFBFBF"/>
        </left>
        <right style="thin">
          <color rgb="FFBFBFBF"/>
        </right>
        <top style="thin">
          <color rgb="FFBFBFBF"/>
        </top>
        <bottom/>
        <vertical/>
        <horizontal/>
      </border>
    </dxf>
    <dxf>
      <border outline="0">
        <top style="thin">
          <color rgb="FFBFBFBF"/>
        </top>
      </border>
    </dxf>
    <dxf>
      <border outline="0">
        <top style="medium">
          <color rgb="FFBFBFBF"/>
        </top>
        <bottom style="thin">
          <color rgb="FFBFBFBF"/>
        </bottom>
      </border>
    </dxf>
    <dxf>
      <border outline="0">
        <bottom style="medium">
          <color rgb="FFBFBFBF"/>
        </bottom>
      </border>
    </dxf>
    <dxf>
      <font>
        <b/>
        <i val="0"/>
        <strike val="0"/>
        <condense val="0"/>
        <extend val="0"/>
        <outline val="0"/>
        <shadow val="0"/>
        <u val="none"/>
        <vertAlign val="baseline"/>
        <sz val="9"/>
        <color rgb="FFFFFFFF"/>
        <name val="Times New Roman"/>
        <family val="1"/>
        <charset val="1"/>
        <scheme val="none"/>
      </font>
      <fill>
        <patternFill patternType="solid">
          <fgColor rgb="FF333333"/>
          <bgColor rgb="FF1F3864"/>
        </patternFill>
      </fill>
      <alignment horizontal="center" vertical="center" textRotation="0" wrapText="1" indent="0" justifyLastLine="0" shrinkToFit="0" readingOrder="0"/>
      <border diagonalUp="0" diagonalDown="0" outline="0">
        <left style="medium">
          <color rgb="FFBFBFBF"/>
        </left>
        <right style="medium">
          <color rgb="FFBFBFBF"/>
        </right>
        <top/>
        <bottom/>
      </border>
    </dxf>
    <dxf>
      <numFmt numFmtId="164" formatCode="\$#,##0;&quot;($&quot;#,##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charset val="1"/>
        <scheme val="none"/>
      </font>
      <border diagonalUp="0" diagonalDown="0">
        <left style="thin">
          <color rgb="FFBFBFBF"/>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font>
        <b/>
        <i val="0"/>
        <strike val="0"/>
        <condense val="0"/>
        <extend val="0"/>
        <outline val="0"/>
        <shadow val="0"/>
        <u val="none"/>
        <vertAlign val="baseline"/>
        <sz val="11"/>
        <color rgb="FFFFFFFF"/>
        <name val="Arial"/>
        <family val="2"/>
        <charset val="1"/>
        <scheme val="none"/>
      </font>
      <fill>
        <patternFill patternType="solid">
          <fgColor rgb="FF333333"/>
          <bgColor rgb="FF1F3864"/>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border outline="0">
        <top style="thin">
          <color rgb="FFBFBFBF"/>
        </top>
      </border>
    </dxf>
    <dxf>
      <border outline="0">
        <bottom style="thin">
          <color rgb="FFBFBFBF"/>
        </bottom>
      </border>
    </dxf>
    <dxf>
      <font>
        <b/>
        <i val="0"/>
        <strike val="0"/>
        <condense val="0"/>
        <extend val="0"/>
        <outline val="0"/>
        <shadow val="0"/>
        <u val="none"/>
        <vertAlign val="baseline"/>
        <sz val="11"/>
        <color rgb="FFFFFFFF"/>
        <name val="Arial"/>
        <family val="2"/>
        <charset val="1"/>
        <scheme val="none"/>
      </font>
      <fill>
        <patternFill patternType="solid">
          <fgColor rgb="FF333333"/>
          <bgColor rgb="FF1F3864"/>
        </patternFill>
      </fill>
      <alignment horizontal="center" vertical="center" textRotation="0" wrapText="0" indent="0" justifyLastLine="0" shrinkToFit="0" readingOrder="0"/>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t>EBITDA</a:t>
            </a:r>
            <a:r>
              <a:rPr lang="en-US" baseline="0"/>
              <a:t> Bridge: Budget to Actual (FY2025)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lotArea>
      <c:layout>
        <c:manualLayout>
          <c:layoutTarget val="inner"/>
          <c:xMode val="edge"/>
          <c:yMode val="edge"/>
          <c:x val="2.6254770834330133E-2"/>
          <c:y val="9.6354166666666671E-2"/>
          <c:w val="0.66399611760777233"/>
          <c:h val="0.84267244094488192"/>
        </c:manualLayout>
      </c:layout>
      <c:barChart>
        <c:barDir val="bar"/>
        <c:grouping val="clustered"/>
        <c:varyColors val="1"/>
        <c:ser>
          <c:idx val="0"/>
          <c:order val="0"/>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807D-4EC8-A662-31D0FF46055D}"/>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3-4BBC-4282-A6F2-DCC1D14CC7A4}"/>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4BBC-4282-A6F2-DCC1D14CC7A4}"/>
              </c:ext>
            </c:extLst>
          </c:dPt>
          <c:dPt>
            <c:idx val="3"/>
            <c:invertIfNegative val="0"/>
            <c:bubble3D val="0"/>
            <c:spPr>
              <a:solidFill>
                <a:schemeClr val="accent6">
                  <a:lumMod val="60000"/>
                </a:schemeClr>
              </a:solidFill>
              <a:ln>
                <a:noFill/>
              </a:ln>
              <a:effectLst/>
            </c:spPr>
            <c:extLst>
              <c:ext xmlns:c16="http://schemas.microsoft.com/office/drawing/2014/chart" uri="{C3380CC4-5D6E-409C-BE32-E72D297353CC}">
                <c16:uniqueId val="{00000007-4BBC-4282-A6F2-DCC1D14CC7A4}"/>
              </c:ext>
            </c:extLst>
          </c:dPt>
          <c:dPt>
            <c:idx val="4"/>
            <c:invertIfNegative val="0"/>
            <c:bubble3D val="0"/>
            <c:spPr>
              <a:solidFill>
                <a:schemeClr val="accent5">
                  <a:lumMod val="60000"/>
                </a:schemeClr>
              </a:solidFill>
              <a:ln>
                <a:noFill/>
              </a:ln>
              <a:effectLst/>
            </c:spPr>
            <c:extLst>
              <c:ext xmlns:c16="http://schemas.microsoft.com/office/drawing/2014/chart" uri="{C3380CC4-5D6E-409C-BE32-E72D297353CC}">
                <c16:uniqueId val="{00000009-4BBC-4282-A6F2-DCC1D14CC7A4}"/>
              </c:ext>
            </c:extLst>
          </c:dPt>
          <c:dPt>
            <c:idx val="5"/>
            <c:invertIfNegative val="0"/>
            <c:bubble3D val="0"/>
            <c:spPr>
              <a:solidFill>
                <a:schemeClr val="accent4">
                  <a:lumMod val="60000"/>
                </a:schemeClr>
              </a:solidFill>
              <a:ln>
                <a:noFill/>
              </a:ln>
              <a:effectLst/>
            </c:spPr>
            <c:extLst>
              <c:ext xmlns:c16="http://schemas.microsoft.com/office/drawing/2014/chart" uri="{C3380CC4-5D6E-409C-BE32-E72D297353CC}">
                <c16:uniqueId val="{0000000B-4BBC-4282-A6F2-DCC1D14CC7A4}"/>
              </c:ext>
            </c:extLst>
          </c:dPt>
          <c:dPt>
            <c:idx val="6"/>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0D-4BBC-4282-A6F2-DCC1D14CC7A4}"/>
              </c:ext>
            </c:extLst>
          </c:dPt>
          <c:dPt>
            <c:idx val="7"/>
            <c:invertIfNegative val="0"/>
            <c:bubble3D val="0"/>
            <c:spPr>
              <a:solidFill>
                <a:schemeClr val="accent5">
                  <a:lumMod val="80000"/>
                  <a:lumOff val="20000"/>
                </a:schemeClr>
              </a:solidFill>
              <a:ln>
                <a:noFill/>
              </a:ln>
              <a:effectLst/>
            </c:spPr>
            <c:extLst>
              <c:ext xmlns:c16="http://schemas.microsoft.com/office/drawing/2014/chart" uri="{C3380CC4-5D6E-409C-BE32-E72D297353CC}">
                <c16:uniqueId val="{0000000F-4BBC-4282-A6F2-DCC1D14CC7A4}"/>
              </c:ext>
            </c:extLst>
          </c:dPt>
          <c:dPt>
            <c:idx val="8"/>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1-4BBC-4282-A6F2-DCC1D14CC7A4}"/>
              </c:ext>
            </c:extLst>
          </c:dPt>
          <c:dLbls>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'Section 2'!$B$4:$B$12</c:f>
              <c:strCache>
                <c:ptCount val="9"/>
                <c:pt idx="0">
                  <c:v>Full-Year EBITDA - Budget</c:v>
                </c:pt>
                <c:pt idx="1">
                  <c:v>Revenue Shortfall Impact</c:v>
                </c:pt>
                <c:pt idx="2">
                  <c:v>Gross Margin Compression Impact</c:v>
                </c:pt>
                <c:pt idx="3">
                  <c:v>Marketing Overspend Impact</c:v>
                </c:pt>
                <c:pt idx="4">
                  <c:v>Salary/Headcount Overspend Impact</c:v>
                </c:pt>
                <c:pt idx="5">
                  <c:v>Software Overspend Impact</c:v>
                </c:pt>
                <c:pt idx="6">
                  <c:v>G&amp;A Overspend Impact</c:v>
                </c:pt>
                <c:pt idx="7">
                  <c:v>Full-Year EBITDA - Actual (should tie out)</c:v>
                </c:pt>
                <c:pt idx="8">
                  <c:v>Rounding</c:v>
                </c:pt>
              </c:strCache>
            </c:strRef>
          </c:cat>
          <c:val>
            <c:numRef>
              <c:f>'Section 2'!$C$4:$C$12</c:f>
              <c:numCache>
                <c:formatCode>\$#,##0;"($"#,##0\);\-</c:formatCode>
                <c:ptCount val="9"/>
                <c:pt idx="0">
                  <c:v>593</c:v>
                </c:pt>
                <c:pt idx="1">
                  <c:v>-658.00000000000011</c:v>
                </c:pt>
                <c:pt idx="2">
                  <c:v>-387.99999999999989</c:v>
                </c:pt>
                <c:pt idx="3">
                  <c:v>-453</c:v>
                </c:pt>
                <c:pt idx="4">
                  <c:v>-388</c:v>
                </c:pt>
                <c:pt idx="5">
                  <c:v>-36</c:v>
                </c:pt>
                <c:pt idx="6">
                  <c:v>-63</c:v>
                </c:pt>
                <c:pt idx="7">
                  <c:v>-1393</c:v>
                </c:pt>
                <c:pt idx="8">
                  <c:v>0</c:v>
                </c:pt>
              </c:numCache>
            </c:numRef>
          </c:val>
          <c:extLst>
            <c:ext xmlns:c16="http://schemas.microsoft.com/office/drawing/2014/chart" uri="{C3380CC4-5D6E-409C-BE32-E72D297353CC}">
              <c16:uniqueId val="{00000000-807D-4EC8-A662-31D0FF46055D}"/>
            </c:ext>
          </c:extLst>
        </c:ser>
        <c:dLbls>
          <c:showLegendKey val="0"/>
          <c:showVal val="0"/>
          <c:showCatName val="0"/>
          <c:showSerName val="0"/>
          <c:showPercent val="0"/>
          <c:showBubbleSize val="0"/>
        </c:dLbls>
        <c:gapWidth val="75"/>
        <c:overlap val="40"/>
        <c:axId val="1207886863"/>
        <c:axId val="993194255"/>
      </c:barChart>
      <c:catAx>
        <c:axId val="1207886863"/>
        <c:scaling>
          <c:orientation val="maxMin"/>
        </c:scaling>
        <c:delete val="1"/>
        <c:axPos val="l"/>
        <c:numFmt formatCode="General" sourceLinked="1"/>
        <c:majorTickMark val="none"/>
        <c:minorTickMark val="none"/>
        <c:tickLblPos val="nextTo"/>
        <c:crossAx val="993194255"/>
        <c:crosses val="autoZero"/>
        <c:auto val="1"/>
        <c:lblAlgn val="ctr"/>
        <c:lblOffset val="100"/>
        <c:noMultiLvlLbl val="0"/>
      </c:catAx>
      <c:valAx>
        <c:axId val="993194255"/>
        <c:scaling>
          <c:orientation val="minMax"/>
        </c:scaling>
        <c:delete val="1"/>
        <c:axPos val="t"/>
        <c:numFmt formatCode="\$#,##0;&quot;($&quot;#,##0\);\-" sourceLinked="1"/>
        <c:majorTickMark val="none"/>
        <c:minorTickMark val="none"/>
        <c:tickLblPos val="nextTo"/>
        <c:crossAx val="1207886863"/>
        <c:crosses val="autoZero"/>
        <c:crossBetween val="between"/>
      </c:valAx>
      <c:spPr>
        <a:noFill/>
        <a:ln>
          <a:noFill/>
        </a:ln>
        <a:effectLst/>
      </c:spPr>
    </c:plotArea>
    <c:legend>
      <c:legendPos val="r"/>
      <c:layout>
        <c:manualLayout>
          <c:xMode val="edge"/>
          <c:yMode val="edge"/>
          <c:x val="0.71909681190000396"/>
          <c:y val="0.10217460841544304"/>
          <c:w val="0.25287684015716821"/>
          <c:h val="0.85610487651481637"/>
        </c:manualLayout>
      </c:layout>
      <c:overlay val="0"/>
      <c:spPr>
        <a:noFill/>
        <a:ln>
          <a:noFill/>
        </a:ln>
        <a:effectLst/>
      </c:spPr>
      <c:txPr>
        <a:bodyPr rot="0" spcFirstLastPara="1" vertOverflow="ellipsis" vert="horz" wrap="square" anchor="ctr" anchorCtr="1"/>
        <a:lstStyle/>
        <a:p>
          <a:pPr rtl="0">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rot="0"/>
    <a:lstStyle/>
    <a:p>
      <a:pPr>
        <a:defRPr>
          <a:ln>
            <a:noFill/>
          </a:ln>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Growth Trend FY2025- MoM vs YoY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'Section 3'!$B$9</c:f>
              <c:strCache>
                <c:ptCount val="1"/>
                <c:pt idx="0">
                  <c:v>MoM Growth % (Actual)</c:v>
                </c:pt>
              </c:strCache>
            </c:strRef>
          </c:tx>
          <c:spPr>
            <a:solidFill>
              <a:schemeClr val="accent1"/>
            </a:solidFill>
            <a:ln>
              <a:noFill/>
            </a:ln>
            <a:effectLst/>
          </c:spPr>
          <c:cat>
            <c:strRef>
              <c:f>'Section 3'!$C$3:$N$3</c:f>
              <c:strCache>
                <c:ptCount val="12"/>
                <c:pt idx="0">
                  <c:v>Jan-25</c:v>
                </c:pt>
                <c:pt idx="1">
                  <c:v>Feb-25</c:v>
                </c:pt>
                <c:pt idx="2">
                  <c:v>Mar-25</c:v>
                </c:pt>
                <c:pt idx="3">
                  <c:v>Apr-25</c:v>
                </c:pt>
                <c:pt idx="4">
                  <c:v>May-25</c:v>
                </c:pt>
                <c:pt idx="5">
                  <c:v>Jun-25</c:v>
                </c:pt>
                <c:pt idx="6">
                  <c:v>Jul-25</c:v>
                </c:pt>
                <c:pt idx="7">
                  <c:v>Aug-25</c:v>
                </c:pt>
                <c:pt idx="8">
                  <c:v>Sep-25</c:v>
                </c:pt>
                <c:pt idx="9">
                  <c:v>Oct-25</c:v>
                </c:pt>
                <c:pt idx="10">
                  <c:v>Nov-25</c:v>
                </c:pt>
                <c:pt idx="11">
                  <c:v>Dec-25</c:v>
                </c:pt>
              </c:strCache>
            </c:strRef>
          </c:cat>
          <c:val>
            <c:numRef>
              <c:f>'Section 3'!$C$9:$N$9</c:f>
              <c:numCache>
                <c:formatCode>0.0%</c:formatCode>
                <c:ptCount val="12"/>
                <c:pt idx="1">
                  <c:v>4.2105263157894736E-2</c:v>
                </c:pt>
                <c:pt idx="2">
                  <c:v>4.0404040404040407E-2</c:v>
                </c:pt>
                <c:pt idx="3">
                  <c:v>2.9126213592233011E-2</c:v>
                </c:pt>
                <c:pt idx="4">
                  <c:v>1.8867924528301886E-2</c:v>
                </c:pt>
                <c:pt idx="5">
                  <c:v>2.7777777777777776E-2</c:v>
                </c:pt>
                <c:pt idx="6">
                  <c:v>2.7027027027027029E-2</c:v>
                </c:pt>
                <c:pt idx="7">
                  <c:v>1.7543859649122806E-2</c:v>
                </c:pt>
                <c:pt idx="8">
                  <c:v>3.4482758620689655E-2</c:v>
                </c:pt>
                <c:pt idx="9">
                  <c:v>2.5000000000000001E-2</c:v>
                </c:pt>
                <c:pt idx="10">
                  <c:v>2.4390243902439025E-2</c:v>
                </c:pt>
                <c:pt idx="11">
                  <c:v>3.1746031746031744E-2</c:v>
                </c:pt>
              </c:numCache>
            </c:numRef>
          </c:val>
          <c:extLst>
            <c:ext xmlns:c16="http://schemas.microsoft.com/office/drawing/2014/chart" uri="{C3380CC4-5D6E-409C-BE32-E72D297353CC}">
              <c16:uniqueId val="{00000000-8A40-4004-9FE8-27E466A501FC}"/>
            </c:ext>
          </c:extLst>
        </c:ser>
        <c:dLbls>
          <c:showLegendKey val="0"/>
          <c:showVal val="0"/>
          <c:showCatName val="0"/>
          <c:showSerName val="0"/>
          <c:showPercent val="0"/>
          <c:showBubbleSize val="0"/>
        </c:dLbls>
        <c:axId val="107049135"/>
        <c:axId val="29470767"/>
      </c:areaChart>
      <c:lineChart>
        <c:grouping val="standard"/>
        <c:varyColors val="0"/>
        <c:ser>
          <c:idx val="1"/>
          <c:order val="1"/>
          <c:tx>
            <c:strRef>
              <c:f>'Section 3'!$B$10</c:f>
              <c:strCache>
                <c:ptCount val="1"/>
                <c:pt idx="0">
                  <c:v>YoY Growth % (Actual vs FY24)</c:v>
                </c:pt>
              </c:strCache>
            </c:strRef>
          </c:tx>
          <c:spPr>
            <a:ln w="50800" cap="rnd">
              <a:solidFill>
                <a:srgbClr val="92D050"/>
              </a:solidFill>
              <a:round/>
            </a:ln>
            <a:effectLst/>
          </c:spPr>
          <c:marker>
            <c:symbol val="none"/>
          </c:marker>
          <c:val>
            <c:numRef>
              <c:f>'Section 3'!$C$10:$N$10</c:f>
              <c:numCache>
                <c:formatCode>0.0%</c:formatCode>
                <c:ptCount val="12"/>
                <c:pt idx="0">
                  <c:v>0.3888888888888889</c:v>
                </c:pt>
                <c:pt idx="1">
                  <c:v>0.3904494382022472</c:v>
                </c:pt>
                <c:pt idx="2">
                  <c:v>0.38814016172506738</c:v>
                </c:pt>
                <c:pt idx="3">
                  <c:v>0.38743455497382201</c:v>
                </c:pt>
                <c:pt idx="4">
                  <c:v>0.38817480719794345</c:v>
                </c:pt>
                <c:pt idx="5">
                  <c:v>0.38750000000000001</c:v>
                </c:pt>
                <c:pt idx="6">
                  <c:v>0.3902439024390244</c:v>
                </c:pt>
                <c:pt idx="7">
                  <c:v>0.38755980861244022</c:v>
                </c:pt>
                <c:pt idx="8">
                  <c:v>0.3888888888888889</c:v>
                </c:pt>
                <c:pt idx="9">
                  <c:v>0.38826185101580135</c:v>
                </c:pt>
                <c:pt idx="10">
                  <c:v>0.38766519823788548</c:v>
                </c:pt>
                <c:pt idx="11">
                  <c:v>0.3888888888888889</c:v>
                </c:pt>
              </c:numCache>
            </c:numRef>
          </c:val>
          <c:smooth val="0"/>
          <c:extLst>
            <c:ext xmlns:c16="http://schemas.microsoft.com/office/drawing/2014/chart" uri="{C3380CC4-5D6E-409C-BE32-E72D297353CC}">
              <c16:uniqueId val="{00000001-8A40-4004-9FE8-27E466A501FC}"/>
            </c:ext>
          </c:extLst>
        </c:ser>
        <c:dLbls>
          <c:showLegendKey val="0"/>
          <c:showVal val="0"/>
          <c:showCatName val="0"/>
          <c:showSerName val="0"/>
          <c:showPercent val="0"/>
          <c:showBubbleSize val="0"/>
        </c:dLbls>
        <c:marker val="1"/>
        <c:smooth val="0"/>
        <c:axId val="107049135"/>
        <c:axId val="29470767"/>
      </c:lineChart>
      <c:catAx>
        <c:axId val="10704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0767"/>
        <c:crosses val="autoZero"/>
        <c:auto val="1"/>
        <c:lblAlgn val="ctr"/>
        <c:lblOffset val="100"/>
        <c:noMultiLvlLbl val="0"/>
      </c:catAx>
      <c:valAx>
        <c:axId val="2947076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49135"/>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16933</xdr:colOff>
      <xdr:row>18</xdr:row>
      <xdr:rowOff>25401</xdr:rowOff>
    </xdr:from>
    <xdr:to>
      <xdr:col>4</xdr:col>
      <xdr:colOff>702733</xdr:colOff>
      <xdr:row>37</xdr:row>
      <xdr:rowOff>143934</xdr:rowOff>
    </xdr:to>
    <xdr:graphicFrame macro="">
      <xdr:nvGraphicFramePr>
        <xdr:cNvPr id="2" name="Chart 1">
          <a:extLst>
            <a:ext uri="{FF2B5EF4-FFF2-40B4-BE49-F238E27FC236}">
              <a16:creationId xmlns:a16="http://schemas.microsoft.com/office/drawing/2014/main" id="{18B52044-001D-BEC3-3CD7-059AC5729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53340</xdr:colOff>
      <xdr:row>16</xdr:row>
      <xdr:rowOff>179070</xdr:rowOff>
    </xdr:from>
    <xdr:to>
      <xdr:col>8</xdr:col>
      <xdr:colOff>182880</xdr:colOff>
      <xdr:row>34</xdr:row>
      <xdr:rowOff>91440</xdr:rowOff>
    </xdr:to>
    <xdr:graphicFrame macro="">
      <xdr:nvGraphicFramePr>
        <xdr:cNvPr id="2" name="Chart 1">
          <a:extLst>
            <a:ext uri="{FF2B5EF4-FFF2-40B4-BE49-F238E27FC236}">
              <a16:creationId xmlns:a16="http://schemas.microsoft.com/office/drawing/2014/main" id="{C0BD6330-F468-A039-C430-4FCE08B2D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195253-09AD-4427-9D9E-349F1A24EF2B}" name="Table1" displayName="Table1" ref="B3:C12" totalsRowShown="0" headerRowDxfId="13" headerRowBorderDxfId="12" tableBorderDxfId="11">
  <autoFilter ref="B3:C12" xr:uid="{3C195253-09AD-4427-9D9E-349F1A24EF2B}"/>
  <tableColumns count="2">
    <tableColumn id="1" xr3:uid="{EF77863E-F755-4F2E-9963-768973FF80CF}" name="Bridge Item" dataDxfId="10"/>
    <tableColumn id="2" xr3:uid="{AAF72B51-98D1-4F59-879C-B4E0CD552082}" name="Amount ($'000)"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2820F3-588E-4125-A402-7848B5507007}" name="Table2" displayName="Table2" ref="B3:C6" totalsRowShown="0" headerRowDxfId="8" headerRowBorderDxfId="7" tableBorderDxfId="6" totalsRowBorderDxfId="5">
  <autoFilter ref="B3:C6" xr:uid="{C82820F3-588E-4125-A402-7848B5507007}"/>
  <tableColumns count="2">
    <tableColumn id="1" xr3:uid="{B51C882C-2E41-430A-BE7A-66533278283D}" name="Recommendation" dataDxfId="4"/>
    <tableColumn id="2" xr3:uid="{810E999C-073E-4755-8C02-76BE70544B5F}" name="Estimated Annualized Impact"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553474-E63D-40E5-ADD2-1DD9A06E93DF}" name="Table4" displayName="Table4" ref="B5:B10" totalsRowShown="0" headerRowDxfId="16" headerRowBorderDxfId="15" tableBorderDxfId="14">
  <autoFilter ref="B5:B10" xr:uid="{C5553474-E63D-40E5-ADD2-1DD9A06E93DF}"/>
  <tableColumns count="1">
    <tableColumn id="1" xr3:uid="{FD811680-B0F7-410E-B629-9FED71FBC870}" name="Metri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2"/>
  <sheetViews>
    <sheetView showGridLines="0" tabSelected="1" zoomScaleNormal="100" workbookViewId="0">
      <selection activeCell="B2" sqref="B2"/>
    </sheetView>
  </sheetViews>
  <sheetFormatPr defaultColWidth="8.6640625" defaultRowHeight="14.4" x14ac:dyDescent="0.3"/>
  <cols>
    <col min="1" max="1" width="3" customWidth="1"/>
    <col min="2" max="2" width="100" customWidth="1"/>
  </cols>
  <sheetData>
    <row r="2" spans="2:2" ht="19.5" customHeight="1" x14ac:dyDescent="0.4">
      <c r="B2" s="55" t="s">
        <v>137</v>
      </c>
    </row>
    <row r="4" spans="2:2" ht="15" customHeight="1" x14ac:dyDescent="0.3">
      <c r="B4" s="1" t="s">
        <v>0</v>
      </c>
    </row>
    <row r="6" spans="2:2" x14ac:dyDescent="0.3">
      <c r="B6" s="2" t="s">
        <v>1</v>
      </c>
    </row>
    <row r="7" spans="2:2" x14ac:dyDescent="0.3">
      <c r="B7" s="2" t="s">
        <v>2</v>
      </c>
    </row>
    <row r="8" spans="2:2" x14ac:dyDescent="0.3">
      <c r="B8" s="2" t="s">
        <v>3</v>
      </c>
    </row>
    <row r="9" spans="2:2" x14ac:dyDescent="0.3">
      <c r="B9" s="2"/>
    </row>
    <row r="10" spans="2:2" x14ac:dyDescent="0.3">
      <c r="B10" s="2" t="s">
        <v>4</v>
      </c>
    </row>
    <row r="11" spans="2:2" x14ac:dyDescent="0.3">
      <c r="B11" s="2" t="s">
        <v>5</v>
      </c>
    </row>
    <row r="12" spans="2:2" x14ac:dyDescent="0.3">
      <c r="B12" s="2" t="s">
        <v>6</v>
      </c>
    </row>
    <row r="13" spans="2:2" x14ac:dyDescent="0.3">
      <c r="B13" s="2" t="s">
        <v>7</v>
      </c>
    </row>
    <row r="14" spans="2:2" x14ac:dyDescent="0.3">
      <c r="B14" s="2" t="s">
        <v>8</v>
      </c>
    </row>
    <row r="15" spans="2:2" x14ac:dyDescent="0.3">
      <c r="B15" s="2"/>
    </row>
    <row r="16" spans="2:2" x14ac:dyDescent="0.3">
      <c r="B16" s="2" t="s">
        <v>9</v>
      </c>
    </row>
    <row r="17" spans="2:2" x14ac:dyDescent="0.3">
      <c r="B17" s="2" t="s">
        <v>10</v>
      </c>
    </row>
    <row r="18" spans="2:2" x14ac:dyDescent="0.3">
      <c r="B18" s="2" t="s">
        <v>11</v>
      </c>
    </row>
    <row r="19" spans="2:2" x14ac:dyDescent="0.3">
      <c r="B19" s="2"/>
    </row>
    <row r="20" spans="2:2" x14ac:dyDescent="0.3">
      <c r="B20" s="2" t="s">
        <v>12</v>
      </c>
    </row>
    <row r="21" spans="2:2" x14ac:dyDescent="0.3">
      <c r="B21" s="2" t="s">
        <v>13</v>
      </c>
    </row>
    <row r="22" spans="2:2" x14ac:dyDescent="0.3">
      <c r="B22" s="2" t="s">
        <v>14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46"/>
  <sheetViews>
    <sheetView zoomScaleNormal="100" workbookViewId="0">
      <selection activeCell="O12" sqref="O12"/>
    </sheetView>
  </sheetViews>
  <sheetFormatPr defaultColWidth="8.6640625" defaultRowHeight="14.4" x14ac:dyDescent="0.3"/>
  <cols>
    <col min="2" max="2" width="30" customWidth="1"/>
    <col min="3" max="14" width="10.5546875" customWidth="1"/>
    <col min="15" max="15" width="12" customWidth="1"/>
  </cols>
  <sheetData>
    <row r="1" spans="2:15" x14ac:dyDescent="0.3">
      <c r="B1" s="3" t="s">
        <v>15</v>
      </c>
      <c r="C1" s="4"/>
      <c r="D1" s="4"/>
      <c r="E1" s="4"/>
      <c r="F1" s="4"/>
      <c r="G1" s="4"/>
      <c r="H1" s="4"/>
      <c r="I1" s="4"/>
      <c r="J1" s="4"/>
      <c r="K1" s="4"/>
      <c r="L1" s="4"/>
      <c r="M1" s="4"/>
      <c r="N1" s="4"/>
      <c r="O1" s="4"/>
    </row>
    <row r="3" spans="2:15" ht="15.6" x14ac:dyDescent="0.3">
      <c r="B3" s="5" t="s">
        <v>16</v>
      </c>
    </row>
    <row r="4" spans="2:15" x14ac:dyDescent="0.3">
      <c r="B4" s="6" t="s">
        <v>17</v>
      </c>
      <c r="C4" s="6" t="s">
        <v>18</v>
      </c>
      <c r="D4" s="6" t="s">
        <v>19</v>
      </c>
      <c r="E4" s="6" t="s">
        <v>20</v>
      </c>
      <c r="F4" s="6" t="s">
        <v>21</v>
      </c>
      <c r="G4" s="6" t="s">
        <v>22</v>
      </c>
      <c r="H4" s="6" t="s">
        <v>23</v>
      </c>
      <c r="I4" s="6" t="s">
        <v>24</v>
      </c>
      <c r="J4" s="6" t="s">
        <v>25</v>
      </c>
      <c r="K4" s="6" t="s">
        <v>26</v>
      </c>
      <c r="L4" s="6" t="s">
        <v>27</v>
      </c>
      <c r="M4" s="6" t="s">
        <v>28</v>
      </c>
      <c r="N4" s="6" t="s">
        <v>29</v>
      </c>
      <c r="O4" s="6" t="s">
        <v>30</v>
      </c>
    </row>
    <row r="5" spans="2:15" x14ac:dyDescent="0.3">
      <c r="B5" s="7" t="s">
        <v>31</v>
      </c>
      <c r="C5" s="8">
        <v>480</v>
      </c>
      <c r="D5" s="8">
        <v>505</v>
      </c>
      <c r="E5" s="8">
        <v>530</v>
      </c>
      <c r="F5" s="8">
        <v>555</v>
      </c>
      <c r="G5" s="8">
        <v>570</v>
      </c>
      <c r="H5" s="8">
        <v>605</v>
      </c>
      <c r="I5" s="8">
        <v>640</v>
      </c>
      <c r="J5" s="8">
        <v>680</v>
      </c>
      <c r="K5" s="8">
        <v>720</v>
      </c>
      <c r="L5" s="8">
        <v>760</v>
      </c>
      <c r="M5" s="8">
        <v>800</v>
      </c>
      <c r="N5" s="8">
        <v>850</v>
      </c>
      <c r="O5" s="9">
        <f>SUM(C5:N5)</f>
        <v>7695</v>
      </c>
    </row>
    <row r="6" spans="2:15" x14ac:dyDescent="0.3">
      <c r="B6" s="7" t="s">
        <v>32</v>
      </c>
      <c r="C6" s="8">
        <v>475</v>
      </c>
      <c r="D6" s="8">
        <v>495</v>
      </c>
      <c r="E6" s="8">
        <v>515</v>
      </c>
      <c r="F6" s="8">
        <v>530</v>
      </c>
      <c r="G6" s="8">
        <v>540</v>
      </c>
      <c r="H6" s="8">
        <v>555</v>
      </c>
      <c r="I6" s="8">
        <v>570</v>
      </c>
      <c r="J6" s="8">
        <v>580</v>
      </c>
      <c r="K6" s="8">
        <v>600</v>
      </c>
      <c r="L6" s="8">
        <v>615</v>
      </c>
      <c r="M6" s="8">
        <v>630</v>
      </c>
      <c r="N6" s="8">
        <v>650</v>
      </c>
      <c r="O6" s="9">
        <f>SUM(C6:N6)</f>
        <v>6755</v>
      </c>
    </row>
    <row r="7" spans="2:15" x14ac:dyDescent="0.3">
      <c r="B7" s="7" t="s">
        <v>33</v>
      </c>
      <c r="C7" s="8">
        <v>342</v>
      </c>
      <c r="D7" s="8">
        <v>356</v>
      </c>
      <c r="E7" s="8">
        <v>371</v>
      </c>
      <c r="F7" s="8">
        <v>382</v>
      </c>
      <c r="G7" s="8">
        <v>389</v>
      </c>
      <c r="H7" s="8">
        <v>400</v>
      </c>
      <c r="I7" s="8">
        <v>410</v>
      </c>
      <c r="J7" s="8">
        <v>418</v>
      </c>
      <c r="K7" s="8">
        <v>432</v>
      </c>
      <c r="L7" s="8">
        <v>443</v>
      </c>
      <c r="M7" s="8">
        <v>454</v>
      </c>
      <c r="N7" s="8">
        <v>468</v>
      </c>
      <c r="O7" s="9">
        <f>SUM(C7:N7)</f>
        <v>4865</v>
      </c>
    </row>
    <row r="9" spans="2:15" ht="15.6" x14ac:dyDescent="0.3">
      <c r="B9" s="5" t="s">
        <v>34</v>
      </c>
    </row>
    <row r="10" spans="2:15" x14ac:dyDescent="0.3">
      <c r="B10" s="6" t="s">
        <v>17</v>
      </c>
      <c r="C10" s="6" t="s">
        <v>18</v>
      </c>
      <c r="D10" s="6" t="s">
        <v>19</v>
      </c>
      <c r="E10" s="6" t="s">
        <v>20</v>
      </c>
      <c r="F10" s="6" t="s">
        <v>21</v>
      </c>
      <c r="G10" s="6" t="s">
        <v>22</v>
      </c>
      <c r="H10" s="6" t="s">
        <v>23</v>
      </c>
      <c r="I10" s="6" t="s">
        <v>24</v>
      </c>
      <c r="J10" s="6" t="s">
        <v>25</v>
      </c>
      <c r="K10" s="6" t="s">
        <v>26</v>
      </c>
      <c r="L10" s="6" t="s">
        <v>27</v>
      </c>
      <c r="M10" s="6" t="s">
        <v>28</v>
      </c>
      <c r="N10" s="6" t="s">
        <v>29</v>
      </c>
      <c r="O10" s="6" t="s">
        <v>30</v>
      </c>
    </row>
    <row r="11" spans="2:15" x14ac:dyDescent="0.3">
      <c r="B11" s="7" t="s">
        <v>35</v>
      </c>
      <c r="C11" s="10">
        <v>0.7</v>
      </c>
      <c r="D11" s="10">
        <v>0.7</v>
      </c>
      <c r="E11" s="10">
        <v>0.7</v>
      </c>
      <c r="F11" s="10">
        <v>0.7</v>
      </c>
      <c r="G11" s="10">
        <v>0.7</v>
      </c>
      <c r="H11" s="10">
        <v>0.7</v>
      </c>
      <c r="I11" s="10">
        <v>0.7</v>
      </c>
      <c r="J11" s="10">
        <v>0.7</v>
      </c>
      <c r="K11" s="10">
        <v>0.7</v>
      </c>
      <c r="L11" s="10">
        <v>0.7</v>
      </c>
      <c r="M11" s="10">
        <v>0.7</v>
      </c>
      <c r="N11" s="10">
        <v>0.7</v>
      </c>
      <c r="O11" s="11">
        <f>AVERAGE(C11:N11)</f>
        <v>0.70000000000000007</v>
      </c>
    </row>
    <row r="12" spans="2:15" x14ac:dyDescent="0.3">
      <c r="B12" s="7" t="s">
        <v>36</v>
      </c>
      <c r="C12" s="10">
        <v>0.7</v>
      </c>
      <c r="D12" s="10">
        <v>0.69</v>
      </c>
      <c r="E12" s="10">
        <v>0.68</v>
      </c>
      <c r="F12" s="10">
        <v>0.67</v>
      </c>
      <c r="G12" s="10">
        <v>0.66</v>
      </c>
      <c r="H12" s="10">
        <v>0.65</v>
      </c>
      <c r="I12" s="10">
        <v>0.64</v>
      </c>
      <c r="J12" s="10">
        <v>0.63</v>
      </c>
      <c r="K12" s="10">
        <v>0.62</v>
      </c>
      <c r="L12" s="10">
        <v>0.61</v>
      </c>
      <c r="M12" s="10">
        <v>0.6</v>
      </c>
      <c r="N12" s="10">
        <v>0.6</v>
      </c>
      <c r="O12" s="54">
        <f>AVERAGE(C12:N12)</f>
        <v>0.64583333333333326</v>
      </c>
    </row>
    <row r="13" spans="2:15" x14ac:dyDescent="0.3">
      <c r="B13" s="7" t="s">
        <v>37</v>
      </c>
      <c r="C13" s="8">
        <v>336</v>
      </c>
      <c r="D13" s="8">
        <v>354</v>
      </c>
      <c r="E13" s="8">
        <v>371</v>
      </c>
      <c r="F13" s="8">
        <v>388</v>
      </c>
      <c r="G13" s="8">
        <v>399</v>
      </c>
      <c r="H13" s="8">
        <v>424</v>
      </c>
      <c r="I13" s="8">
        <v>448</v>
      </c>
      <c r="J13" s="8">
        <v>476</v>
      </c>
      <c r="K13" s="8">
        <v>504</v>
      </c>
      <c r="L13" s="8">
        <v>532</v>
      </c>
      <c r="M13" s="8">
        <v>560</v>
      </c>
      <c r="N13" s="8">
        <v>595</v>
      </c>
      <c r="O13" s="9">
        <f>SUM(C13:N13)</f>
        <v>5387</v>
      </c>
    </row>
    <row r="14" spans="2:15" x14ac:dyDescent="0.3">
      <c r="B14" s="7" t="s">
        <v>38</v>
      </c>
      <c r="C14" s="8">
        <v>332</v>
      </c>
      <c r="D14" s="8">
        <v>342</v>
      </c>
      <c r="E14" s="8">
        <v>350</v>
      </c>
      <c r="F14" s="8">
        <v>355</v>
      </c>
      <c r="G14" s="8">
        <v>356</v>
      </c>
      <c r="H14" s="8">
        <v>361</v>
      </c>
      <c r="I14" s="8">
        <v>365</v>
      </c>
      <c r="J14" s="8">
        <v>365</v>
      </c>
      <c r="K14" s="8">
        <v>372</v>
      </c>
      <c r="L14" s="8">
        <v>375</v>
      </c>
      <c r="M14" s="8">
        <v>378</v>
      </c>
      <c r="N14" s="8">
        <v>390</v>
      </c>
      <c r="O14" s="9">
        <f>SUM(C14:N14)</f>
        <v>4341</v>
      </c>
    </row>
    <row r="16" spans="2:15" ht="15.6" x14ac:dyDescent="0.3">
      <c r="B16" s="5" t="s">
        <v>39</v>
      </c>
    </row>
    <row r="17" spans="2:15" x14ac:dyDescent="0.3">
      <c r="B17" s="6" t="s">
        <v>17</v>
      </c>
      <c r="C17" s="6" t="s">
        <v>18</v>
      </c>
      <c r="D17" s="6" t="s">
        <v>19</v>
      </c>
      <c r="E17" s="6" t="s">
        <v>20</v>
      </c>
      <c r="F17" s="6" t="s">
        <v>21</v>
      </c>
      <c r="G17" s="6" t="s">
        <v>22</v>
      </c>
      <c r="H17" s="6" t="s">
        <v>23</v>
      </c>
      <c r="I17" s="6" t="s">
        <v>24</v>
      </c>
      <c r="J17" s="6" t="s">
        <v>25</v>
      </c>
      <c r="K17" s="6" t="s">
        <v>26</v>
      </c>
      <c r="L17" s="6" t="s">
        <v>27</v>
      </c>
      <c r="M17" s="6" t="s">
        <v>28</v>
      </c>
      <c r="N17" s="6" t="s">
        <v>29</v>
      </c>
      <c r="O17" s="6" t="s">
        <v>30</v>
      </c>
    </row>
    <row r="18" spans="2:15" x14ac:dyDescent="0.3">
      <c r="B18" s="7" t="s">
        <v>40</v>
      </c>
      <c r="C18" s="8">
        <v>215</v>
      </c>
      <c r="D18" s="8">
        <v>220</v>
      </c>
      <c r="E18" s="8">
        <v>225</v>
      </c>
      <c r="F18" s="8">
        <v>232</v>
      </c>
      <c r="G18" s="8">
        <v>238</v>
      </c>
      <c r="H18" s="8">
        <v>245</v>
      </c>
      <c r="I18" s="8">
        <v>250</v>
      </c>
      <c r="J18" s="8">
        <v>258</v>
      </c>
      <c r="K18" s="8">
        <v>263</v>
      </c>
      <c r="L18" s="8">
        <v>270</v>
      </c>
      <c r="M18" s="8">
        <v>276</v>
      </c>
      <c r="N18" s="8">
        <v>282</v>
      </c>
      <c r="O18" s="9">
        <f t="shared" ref="O18:O27" si="0">SUM(C18:N18)</f>
        <v>2974</v>
      </c>
    </row>
    <row r="19" spans="2:15" x14ac:dyDescent="0.3">
      <c r="B19" s="7" t="s">
        <v>41</v>
      </c>
      <c r="C19" s="8">
        <v>222</v>
      </c>
      <c r="D19" s="8">
        <v>232</v>
      </c>
      <c r="E19" s="8">
        <v>244</v>
      </c>
      <c r="F19" s="8">
        <v>258</v>
      </c>
      <c r="G19" s="8">
        <v>268</v>
      </c>
      <c r="H19" s="8">
        <v>282</v>
      </c>
      <c r="I19" s="8">
        <v>292</v>
      </c>
      <c r="J19" s="8">
        <v>302</v>
      </c>
      <c r="K19" s="8">
        <v>308</v>
      </c>
      <c r="L19" s="8">
        <v>314</v>
      </c>
      <c r="M19" s="8">
        <v>320</v>
      </c>
      <c r="N19" s="8">
        <v>320</v>
      </c>
      <c r="O19" s="9">
        <f t="shared" si="0"/>
        <v>3362</v>
      </c>
    </row>
    <row r="20" spans="2:15" x14ac:dyDescent="0.3">
      <c r="B20" s="7" t="s">
        <v>42</v>
      </c>
      <c r="C20" s="8">
        <v>70</v>
      </c>
      <c r="D20" s="8">
        <v>74</v>
      </c>
      <c r="E20" s="8">
        <v>78</v>
      </c>
      <c r="F20" s="8">
        <v>82</v>
      </c>
      <c r="G20" s="8">
        <v>85</v>
      </c>
      <c r="H20" s="8">
        <v>90</v>
      </c>
      <c r="I20" s="8">
        <v>95</v>
      </c>
      <c r="J20" s="8">
        <v>100</v>
      </c>
      <c r="K20" s="8">
        <v>105</v>
      </c>
      <c r="L20" s="8">
        <v>110</v>
      </c>
      <c r="M20" s="8">
        <v>115</v>
      </c>
      <c r="N20" s="8">
        <v>120</v>
      </c>
      <c r="O20" s="9">
        <f t="shared" si="0"/>
        <v>1124</v>
      </c>
    </row>
    <row r="21" spans="2:15" x14ac:dyDescent="0.3">
      <c r="B21" s="7" t="s">
        <v>43</v>
      </c>
      <c r="C21" s="8">
        <v>72</v>
      </c>
      <c r="D21" s="8">
        <v>80</v>
      </c>
      <c r="E21" s="8">
        <v>90</v>
      </c>
      <c r="F21" s="8">
        <v>100</v>
      </c>
      <c r="G21" s="8">
        <v>110</v>
      </c>
      <c r="H21" s="8">
        <v>125</v>
      </c>
      <c r="I21" s="8">
        <v>140</v>
      </c>
      <c r="J21" s="8">
        <v>155</v>
      </c>
      <c r="K21" s="8">
        <v>165</v>
      </c>
      <c r="L21" s="8">
        <v>175</v>
      </c>
      <c r="M21" s="8">
        <v>180</v>
      </c>
      <c r="N21" s="8">
        <v>185</v>
      </c>
      <c r="O21" s="9">
        <f t="shared" si="0"/>
        <v>1577</v>
      </c>
    </row>
    <row r="22" spans="2:15" x14ac:dyDescent="0.3">
      <c r="B22" s="7" t="s">
        <v>44</v>
      </c>
      <c r="C22" s="8">
        <v>18</v>
      </c>
      <c r="D22" s="8">
        <v>18</v>
      </c>
      <c r="E22" s="8">
        <v>19</v>
      </c>
      <c r="F22" s="8">
        <v>19</v>
      </c>
      <c r="G22" s="8">
        <v>20</v>
      </c>
      <c r="H22" s="8">
        <v>20</v>
      </c>
      <c r="I22" s="8">
        <v>21</v>
      </c>
      <c r="J22" s="8">
        <v>21</v>
      </c>
      <c r="K22" s="8">
        <v>22</v>
      </c>
      <c r="L22" s="8">
        <v>22</v>
      </c>
      <c r="M22" s="8">
        <v>23</v>
      </c>
      <c r="N22" s="8">
        <v>23</v>
      </c>
      <c r="O22" s="9">
        <f t="shared" si="0"/>
        <v>246</v>
      </c>
    </row>
    <row r="23" spans="2:15" x14ac:dyDescent="0.3">
      <c r="B23" s="7" t="s">
        <v>45</v>
      </c>
      <c r="C23" s="8">
        <v>18</v>
      </c>
      <c r="D23" s="8">
        <v>19</v>
      </c>
      <c r="E23" s="8">
        <v>20</v>
      </c>
      <c r="F23" s="8">
        <v>21</v>
      </c>
      <c r="G23" s="8">
        <v>22</v>
      </c>
      <c r="H23" s="8">
        <v>23</v>
      </c>
      <c r="I23" s="8">
        <v>24</v>
      </c>
      <c r="J23" s="8">
        <v>25</v>
      </c>
      <c r="K23" s="8">
        <v>26</v>
      </c>
      <c r="L23" s="8">
        <v>27</v>
      </c>
      <c r="M23" s="8">
        <v>28</v>
      </c>
      <c r="N23" s="8">
        <v>29</v>
      </c>
      <c r="O23" s="9">
        <f t="shared" si="0"/>
        <v>282</v>
      </c>
    </row>
    <row r="24" spans="2:15" x14ac:dyDescent="0.3">
      <c r="B24" s="7" t="s">
        <v>46</v>
      </c>
      <c r="C24" s="8">
        <v>35</v>
      </c>
      <c r="D24" s="8">
        <v>35</v>
      </c>
      <c r="E24" s="8">
        <v>36</v>
      </c>
      <c r="F24" s="8">
        <v>36</v>
      </c>
      <c r="G24" s="8">
        <v>37</v>
      </c>
      <c r="H24" s="8">
        <v>37</v>
      </c>
      <c r="I24" s="8">
        <v>38</v>
      </c>
      <c r="J24" s="8">
        <v>38</v>
      </c>
      <c r="K24" s="8">
        <v>39</v>
      </c>
      <c r="L24" s="8">
        <v>39</v>
      </c>
      <c r="M24" s="8">
        <v>40</v>
      </c>
      <c r="N24" s="8">
        <v>40</v>
      </c>
      <c r="O24" s="9">
        <f t="shared" si="0"/>
        <v>450</v>
      </c>
    </row>
    <row r="25" spans="2:15" x14ac:dyDescent="0.3">
      <c r="B25" s="7" t="s">
        <v>47</v>
      </c>
      <c r="C25" s="8">
        <v>36</v>
      </c>
      <c r="D25" s="8">
        <v>37</v>
      </c>
      <c r="E25" s="8">
        <v>38</v>
      </c>
      <c r="F25" s="8">
        <v>39</v>
      </c>
      <c r="G25" s="8">
        <v>40</v>
      </c>
      <c r="H25" s="8">
        <v>42</v>
      </c>
      <c r="I25" s="8">
        <v>43</v>
      </c>
      <c r="J25" s="8">
        <v>45</v>
      </c>
      <c r="K25" s="8">
        <v>46</v>
      </c>
      <c r="L25" s="8">
        <v>48</v>
      </c>
      <c r="M25" s="8">
        <v>49</v>
      </c>
      <c r="N25" s="8">
        <v>50</v>
      </c>
      <c r="O25" s="9">
        <f t="shared" si="0"/>
        <v>513</v>
      </c>
    </row>
    <row r="26" spans="2:15" x14ac:dyDescent="0.3">
      <c r="B26" s="12" t="s">
        <v>48</v>
      </c>
      <c r="C26" s="9">
        <f t="shared" ref="C26:N26" si="1">C18+C20+C22+C24</f>
        <v>338</v>
      </c>
      <c r="D26" s="9">
        <f t="shared" si="1"/>
        <v>347</v>
      </c>
      <c r="E26" s="9">
        <f t="shared" si="1"/>
        <v>358</v>
      </c>
      <c r="F26" s="9">
        <f t="shared" si="1"/>
        <v>369</v>
      </c>
      <c r="G26" s="9">
        <f t="shared" si="1"/>
        <v>380</v>
      </c>
      <c r="H26" s="9">
        <f t="shared" si="1"/>
        <v>392</v>
      </c>
      <c r="I26" s="9">
        <f t="shared" si="1"/>
        <v>404</v>
      </c>
      <c r="J26" s="9">
        <f t="shared" si="1"/>
        <v>417</v>
      </c>
      <c r="K26" s="9">
        <f t="shared" si="1"/>
        <v>429</v>
      </c>
      <c r="L26" s="9">
        <f t="shared" si="1"/>
        <v>441</v>
      </c>
      <c r="M26" s="9">
        <f t="shared" si="1"/>
        <v>454</v>
      </c>
      <c r="N26" s="9">
        <f t="shared" si="1"/>
        <v>465</v>
      </c>
      <c r="O26" s="9">
        <f t="shared" si="0"/>
        <v>4794</v>
      </c>
    </row>
    <row r="27" spans="2:15" x14ac:dyDescent="0.3">
      <c r="B27" s="12" t="s">
        <v>49</v>
      </c>
      <c r="C27" s="9">
        <f t="shared" ref="C27:N27" si="2">C19+C21+C23+C25</f>
        <v>348</v>
      </c>
      <c r="D27" s="9">
        <f t="shared" si="2"/>
        <v>368</v>
      </c>
      <c r="E27" s="9">
        <f t="shared" si="2"/>
        <v>392</v>
      </c>
      <c r="F27" s="9">
        <f t="shared" si="2"/>
        <v>418</v>
      </c>
      <c r="G27" s="9">
        <f t="shared" si="2"/>
        <v>440</v>
      </c>
      <c r="H27" s="9">
        <f t="shared" si="2"/>
        <v>472</v>
      </c>
      <c r="I27" s="9">
        <f t="shared" si="2"/>
        <v>499</v>
      </c>
      <c r="J27" s="9">
        <f t="shared" si="2"/>
        <v>527</v>
      </c>
      <c r="K27" s="9">
        <f t="shared" si="2"/>
        <v>545</v>
      </c>
      <c r="L27" s="9">
        <f t="shared" si="2"/>
        <v>564</v>
      </c>
      <c r="M27" s="9">
        <f t="shared" si="2"/>
        <v>577</v>
      </c>
      <c r="N27" s="9">
        <f t="shared" si="2"/>
        <v>584</v>
      </c>
      <c r="O27" s="9">
        <f t="shared" si="0"/>
        <v>5734</v>
      </c>
    </row>
    <row r="29" spans="2:15" ht="15.6" x14ac:dyDescent="0.3">
      <c r="B29" s="5" t="s">
        <v>50</v>
      </c>
    </row>
    <row r="30" spans="2:15" x14ac:dyDescent="0.3">
      <c r="B30" s="6" t="s">
        <v>17</v>
      </c>
      <c r="C30" s="6" t="s">
        <v>18</v>
      </c>
      <c r="D30" s="6" t="s">
        <v>19</v>
      </c>
      <c r="E30" s="6" t="s">
        <v>20</v>
      </c>
      <c r="F30" s="6" t="s">
        <v>21</v>
      </c>
      <c r="G30" s="6" t="s">
        <v>22</v>
      </c>
      <c r="H30" s="6" t="s">
        <v>23</v>
      </c>
      <c r="I30" s="6" t="s">
        <v>24</v>
      </c>
      <c r="J30" s="6" t="s">
        <v>25</v>
      </c>
      <c r="K30" s="6" t="s">
        <v>26</v>
      </c>
      <c r="L30" s="6" t="s">
        <v>27</v>
      </c>
      <c r="M30" s="6" t="s">
        <v>28</v>
      </c>
      <c r="N30" s="6" t="s">
        <v>29</v>
      </c>
      <c r="O30" s="6" t="s">
        <v>30</v>
      </c>
    </row>
    <row r="31" spans="2:15" x14ac:dyDescent="0.3">
      <c r="B31" s="12" t="s">
        <v>31</v>
      </c>
      <c r="C31" s="9">
        <f>C13-C26</f>
        <v>-2</v>
      </c>
      <c r="D31" s="9">
        <f t="shared" ref="D31:N31" si="3">D13-D26</f>
        <v>7</v>
      </c>
      <c r="E31" s="9">
        <f t="shared" si="3"/>
        <v>13</v>
      </c>
      <c r="F31" s="9">
        <f t="shared" si="3"/>
        <v>19</v>
      </c>
      <c r="G31" s="9">
        <f t="shared" si="3"/>
        <v>19</v>
      </c>
      <c r="H31" s="9">
        <f t="shared" si="3"/>
        <v>32</v>
      </c>
      <c r="I31" s="9">
        <f t="shared" si="3"/>
        <v>44</v>
      </c>
      <c r="J31" s="9">
        <f t="shared" si="3"/>
        <v>59</v>
      </c>
      <c r="K31" s="9">
        <f t="shared" si="3"/>
        <v>75</v>
      </c>
      <c r="L31" s="9">
        <f t="shared" si="3"/>
        <v>91</v>
      </c>
      <c r="M31" s="9">
        <f t="shared" si="3"/>
        <v>106</v>
      </c>
      <c r="N31" s="9">
        <f t="shared" si="3"/>
        <v>130</v>
      </c>
      <c r="O31" s="9">
        <f>SUM(C31:N31)</f>
        <v>593</v>
      </c>
    </row>
    <row r="32" spans="2:15" x14ac:dyDescent="0.3">
      <c r="B32" s="12" t="s">
        <v>32</v>
      </c>
      <c r="C32" s="9">
        <f t="shared" ref="C32:N32" si="4">C14-C27</f>
        <v>-16</v>
      </c>
      <c r="D32" s="9">
        <f t="shared" si="4"/>
        <v>-26</v>
      </c>
      <c r="E32" s="9">
        <f t="shared" si="4"/>
        <v>-42</v>
      </c>
      <c r="F32" s="9">
        <f t="shared" si="4"/>
        <v>-63</v>
      </c>
      <c r="G32" s="9">
        <f t="shared" si="4"/>
        <v>-84</v>
      </c>
      <c r="H32" s="9">
        <f t="shared" si="4"/>
        <v>-111</v>
      </c>
      <c r="I32" s="9">
        <f t="shared" si="4"/>
        <v>-134</v>
      </c>
      <c r="J32" s="9">
        <f t="shared" si="4"/>
        <v>-162</v>
      </c>
      <c r="K32" s="9">
        <f t="shared" si="4"/>
        <v>-173</v>
      </c>
      <c r="L32" s="9">
        <f t="shared" si="4"/>
        <v>-189</v>
      </c>
      <c r="M32" s="9">
        <f t="shared" si="4"/>
        <v>-199</v>
      </c>
      <c r="N32" s="9">
        <f t="shared" si="4"/>
        <v>-194</v>
      </c>
      <c r="O32" s="9">
        <f>SUM(C32:N32)</f>
        <v>-1393</v>
      </c>
    </row>
    <row r="34" spans="2:15" ht="15.6" x14ac:dyDescent="0.3">
      <c r="B34" s="5" t="s">
        <v>51</v>
      </c>
    </row>
    <row r="35" spans="2:15" x14ac:dyDescent="0.3">
      <c r="B35" s="6" t="s">
        <v>17</v>
      </c>
      <c r="C35" s="6" t="s">
        <v>18</v>
      </c>
      <c r="D35" s="6" t="s">
        <v>19</v>
      </c>
      <c r="E35" s="6" t="s">
        <v>20</v>
      </c>
      <c r="F35" s="6" t="s">
        <v>21</v>
      </c>
      <c r="G35" s="6" t="s">
        <v>22</v>
      </c>
      <c r="H35" s="6" t="s">
        <v>23</v>
      </c>
      <c r="I35" s="6" t="s">
        <v>24</v>
      </c>
      <c r="J35" s="6" t="s">
        <v>25</v>
      </c>
      <c r="K35" s="6" t="s">
        <v>26</v>
      </c>
      <c r="L35" s="6" t="s">
        <v>27</v>
      </c>
      <c r="M35" s="6" t="s">
        <v>28</v>
      </c>
      <c r="N35" s="6" t="s">
        <v>29</v>
      </c>
      <c r="O35" s="6" t="s">
        <v>30</v>
      </c>
    </row>
    <row r="36" spans="2:15" x14ac:dyDescent="0.3">
      <c r="B36" s="7" t="s">
        <v>52</v>
      </c>
      <c r="C36" s="8">
        <v>2198</v>
      </c>
      <c r="D36" s="8">
        <v>2204</v>
      </c>
      <c r="E36" s="8">
        <v>2218</v>
      </c>
      <c r="F36" s="8">
        <v>2237</v>
      </c>
      <c r="G36" s="8">
        <v>2256</v>
      </c>
      <c r="H36" s="8">
        <v>2288</v>
      </c>
      <c r="I36" s="8">
        <v>2332</v>
      </c>
      <c r="J36" s="8">
        <v>2390</v>
      </c>
      <c r="K36" s="8">
        <v>2466</v>
      </c>
      <c r="L36" s="8">
        <v>2556</v>
      </c>
      <c r="M36" s="8">
        <v>2662</v>
      </c>
      <c r="N36" s="8">
        <v>2792</v>
      </c>
      <c r="O36" s="9">
        <f>SUM(C36:N36)</f>
        <v>28599</v>
      </c>
    </row>
    <row r="37" spans="2:15" x14ac:dyDescent="0.3">
      <c r="B37" s="7" t="s">
        <v>53</v>
      </c>
      <c r="C37" s="8">
        <v>2184</v>
      </c>
      <c r="D37" s="8">
        <v>2158</v>
      </c>
      <c r="E37" s="8">
        <v>2116</v>
      </c>
      <c r="F37" s="8">
        <v>2053</v>
      </c>
      <c r="G37" s="8">
        <v>1970</v>
      </c>
      <c r="H37" s="8">
        <v>1858</v>
      </c>
      <c r="I37" s="8">
        <v>1724</v>
      </c>
      <c r="J37" s="8">
        <v>1563</v>
      </c>
      <c r="K37" s="8">
        <v>1390</v>
      </c>
      <c r="L37" s="8">
        <v>1201</v>
      </c>
      <c r="M37" s="8">
        <v>1002</v>
      </c>
      <c r="N37" s="8">
        <v>808</v>
      </c>
      <c r="O37" s="9">
        <f>SUM(C37:N37)</f>
        <v>20027</v>
      </c>
    </row>
    <row r="38" spans="2:15" x14ac:dyDescent="0.3">
      <c r="B38" s="7" t="s">
        <v>54</v>
      </c>
      <c r="C38" s="8">
        <v>40</v>
      </c>
      <c r="D38" s="8">
        <v>41</v>
      </c>
      <c r="E38" s="8">
        <v>42</v>
      </c>
      <c r="F38" s="8">
        <v>44</v>
      </c>
      <c r="G38" s="8">
        <v>45</v>
      </c>
      <c r="H38" s="8">
        <v>47</v>
      </c>
      <c r="I38" s="8">
        <v>48</v>
      </c>
      <c r="J38" s="8">
        <v>50</v>
      </c>
      <c r="K38" s="8">
        <v>51</v>
      </c>
      <c r="L38" s="8">
        <v>53</v>
      </c>
      <c r="M38" s="8">
        <v>54</v>
      </c>
      <c r="N38" s="8">
        <v>55</v>
      </c>
      <c r="O38" s="11">
        <f>AVERAGE(C38:N38)</f>
        <v>47.5</v>
      </c>
    </row>
    <row r="39" spans="2:15" x14ac:dyDescent="0.3">
      <c r="B39" s="7" t="s">
        <v>55</v>
      </c>
      <c r="C39" s="8">
        <v>42</v>
      </c>
      <c r="D39" s="8">
        <v>44</v>
      </c>
      <c r="E39" s="8">
        <v>47</v>
      </c>
      <c r="F39" s="8">
        <v>50</v>
      </c>
      <c r="G39" s="8">
        <v>52</v>
      </c>
      <c r="H39" s="8">
        <v>55</v>
      </c>
      <c r="I39" s="8">
        <v>57</v>
      </c>
      <c r="J39" s="8">
        <v>59</v>
      </c>
      <c r="K39" s="8">
        <v>60</v>
      </c>
      <c r="L39" s="8">
        <v>61</v>
      </c>
      <c r="M39" s="8">
        <v>62</v>
      </c>
      <c r="N39" s="8">
        <v>62</v>
      </c>
      <c r="O39" s="11">
        <f>AVERAGE(C39:N39)</f>
        <v>54.25</v>
      </c>
    </row>
    <row r="41" spans="2:15" ht="15.6" x14ac:dyDescent="0.3">
      <c r="B41" s="5" t="s">
        <v>56</v>
      </c>
    </row>
    <row r="42" spans="2:15" x14ac:dyDescent="0.3">
      <c r="B42" s="6" t="s">
        <v>17</v>
      </c>
      <c r="C42" s="6" t="s">
        <v>18</v>
      </c>
      <c r="D42" s="6" t="s">
        <v>19</v>
      </c>
      <c r="E42" s="6" t="s">
        <v>20</v>
      </c>
      <c r="F42" s="6" t="s">
        <v>21</v>
      </c>
      <c r="G42" s="6" t="s">
        <v>22</v>
      </c>
      <c r="H42" s="6" t="s">
        <v>23</v>
      </c>
      <c r="I42" s="6" t="s">
        <v>24</v>
      </c>
      <c r="J42" s="6" t="s">
        <v>25</v>
      </c>
      <c r="K42" s="6" t="s">
        <v>26</v>
      </c>
      <c r="L42" s="6" t="s">
        <v>27</v>
      </c>
      <c r="M42" s="6" t="s">
        <v>28</v>
      </c>
      <c r="N42" s="6" t="s">
        <v>29</v>
      </c>
      <c r="O42" s="6" t="s">
        <v>30</v>
      </c>
    </row>
    <row r="43" spans="2:15" x14ac:dyDescent="0.3">
      <c r="B43" s="7" t="s">
        <v>57</v>
      </c>
      <c r="C43" s="8">
        <v>1200</v>
      </c>
      <c r="D43" s="8">
        <v>1260</v>
      </c>
      <c r="E43" s="8">
        <v>1320</v>
      </c>
      <c r="F43" s="8">
        <v>1380</v>
      </c>
      <c r="G43" s="8">
        <v>1440</v>
      </c>
      <c r="H43" s="8">
        <v>1520</v>
      </c>
      <c r="I43" s="8">
        <v>1600</v>
      </c>
      <c r="J43" s="8">
        <v>1680</v>
      </c>
      <c r="K43" s="8">
        <v>1760</v>
      </c>
      <c r="L43" s="8">
        <v>1840</v>
      </c>
      <c r="M43" s="8">
        <v>1920</v>
      </c>
      <c r="N43" s="8">
        <v>2000</v>
      </c>
      <c r="O43" s="11">
        <f>AVERAGE(C43:N43)</f>
        <v>1576.6666666666667</v>
      </c>
    </row>
    <row r="44" spans="2:15" x14ac:dyDescent="0.3">
      <c r="B44" s="7" t="s">
        <v>58</v>
      </c>
      <c r="C44" s="8">
        <v>1180</v>
      </c>
      <c r="D44" s="8">
        <v>1230</v>
      </c>
      <c r="E44" s="8">
        <v>1270</v>
      </c>
      <c r="F44" s="8">
        <v>1310</v>
      </c>
      <c r="G44" s="8">
        <v>1340</v>
      </c>
      <c r="H44" s="8">
        <v>1370</v>
      </c>
      <c r="I44" s="8">
        <v>1390</v>
      </c>
      <c r="J44" s="8">
        <v>1410</v>
      </c>
      <c r="K44" s="8">
        <v>1430</v>
      </c>
      <c r="L44" s="8">
        <v>1450</v>
      </c>
      <c r="M44" s="8">
        <v>1470</v>
      </c>
      <c r="N44" s="8">
        <v>1490</v>
      </c>
      <c r="O44" s="11">
        <f>AVERAGE(C44:N44)</f>
        <v>1361.6666666666667</v>
      </c>
    </row>
    <row r="45" spans="2:15" x14ac:dyDescent="0.3">
      <c r="B45" s="7" t="s">
        <v>59</v>
      </c>
      <c r="C45" s="8">
        <v>340</v>
      </c>
      <c r="D45" s="8">
        <v>358</v>
      </c>
      <c r="E45" s="8">
        <v>376</v>
      </c>
      <c r="F45" s="8">
        <v>394</v>
      </c>
      <c r="G45" s="8">
        <v>412</v>
      </c>
      <c r="H45" s="8">
        <v>437</v>
      </c>
      <c r="I45" s="8">
        <v>462</v>
      </c>
      <c r="J45" s="8">
        <v>487</v>
      </c>
      <c r="K45" s="8">
        <v>512</v>
      </c>
      <c r="L45" s="8">
        <v>537</v>
      </c>
      <c r="M45" s="8">
        <v>562</v>
      </c>
      <c r="N45" s="8">
        <v>587</v>
      </c>
      <c r="O45" s="9">
        <f>SUM(C45:N45)</f>
        <v>5464</v>
      </c>
    </row>
    <row r="46" spans="2:15" x14ac:dyDescent="0.3">
      <c r="B46" s="7" t="s">
        <v>60</v>
      </c>
      <c r="C46" s="8">
        <v>335</v>
      </c>
      <c r="D46" s="8">
        <v>350</v>
      </c>
      <c r="E46" s="8">
        <v>362</v>
      </c>
      <c r="F46" s="8">
        <v>372</v>
      </c>
      <c r="G46" s="8">
        <v>380</v>
      </c>
      <c r="H46" s="8">
        <v>388</v>
      </c>
      <c r="I46" s="8">
        <v>394</v>
      </c>
      <c r="J46" s="8">
        <v>400</v>
      </c>
      <c r="K46" s="8">
        <v>408</v>
      </c>
      <c r="L46" s="8">
        <v>415</v>
      </c>
      <c r="M46" s="8">
        <v>422</v>
      </c>
      <c r="N46" s="8">
        <v>428</v>
      </c>
      <c r="O46" s="9">
        <f>SUM(C46:N46)</f>
        <v>4654</v>
      </c>
    </row>
  </sheetData>
  <conditionalFormatting sqref="C31:O32">
    <cfRule type="cellIs" dxfId="2" priority="1" operator="lessThan">
      <formula>0</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N16"/>
  <sheetViews>
    <sheetView showGridLines="0" zoomScaleNormal="100" workbookViewId="0">
      <selection activeCell="D7" sqref="D7"/>
    </sheetView>
  </sheetViews>
  <sheetFormatPr defaultColWidth="8.6640625" defaultRowHeight="14.4" x14ac:dyDescent="0.3"/>
  <cols>
    <col min="2" max="2" width="44.44140625" customWidth="1"/>
    <col min="3" max="3" width="11" customWidth="1"/>
    <col min="4" max="4" width="8.109375" customWidth="1"/>
    <col min="5" max="5" width="11.77734375" customWidth="1"/>
    <col min="6" max="6" width="12.33203125" customWidth="1"/>
  </cols>
  <sheetData>
    <row r="2" spans="2:14" x14ac:dyDescent="0.3">
      <c r="B2" s="13" t="s">
        <v>61</v>
      </c>
      <c r="C2" s="4"/>
      <c r="D2" s="4"/>
      <c r="E2" s="4"/>
      <c r="F2" s="4"/>
      <c r="G2" s="4"/>
      <c r="H2" s="4"/>
      <c r="I2" s="4"/>
      <c r="J2" s="4"/>
      <c r="K2" s="4"/>
      <c r="L2" s="4"/>
      <c r="M2" s="4"/>
      <c r="N2" s="4"/>
    </row>
    <row r="3" spans="2:14" x14ac:dyDescent="0.3">
      <c r="B3" s="14" t="s">
        <v>17</v>
      </c>
      <c r="C3" s="14" t="s">
        <v>32</v>
      </c>
      <c r="D3" s="14" t="s">
        <v>62</v>
      </c>
      <c r="E3" s="14" t="s">
        <v>63</v>
      </c>
      <c r="F3" s="14" t="s">
        <v>64</v>
      </c>
    </row>
    <row r="4" spans="2:14" x14ac:dyDescent="0.3">
      <c r="B4" s="15" t="s">
        <v>65</v>
      </c>
      <c r="C4" s="16">
        <f>'Monthly Data'!O6</f>
        <v>6755</v>
      </c>
      <c r="D4" s="17">
        <f>'Monthly Data'!O5</f>
        <v>7695</v>
      </c>
      <c r="E4" s="18">
        <f t="shared" ref="E4:E9" si="0">C4-D4</f>
        <v>-940</v>
      </c>
      <c r="F4" s="19">
        <f t="shared" ref="F4:F8" si="1">E4/D4</f>
        <v>-0.1221572449642625</v>
      </c>
    </row>
    <row r="5" spans="2:14" x14ac:dyDescent="0.3">
      <c r="B5" s="15" t="s">
        <v>66</v>
      </c>
      <c r="C5" s="17">
        <f>'Monthly Data'!O14</f>
        <v>4341</v>
      </c>
      <c r="D5" s="17">
        <f>'Monthly Data'!O13</f>
        <v>5387</v>
      </c>
      <c r="E5" s="18">
        <f t="shared" si="0"/>
        <v>-1046</v>
      </c>
      <c r="F5" s="19">
        <f t="shared" si="1"/>
        <v>-0.19417115277519956</v>
      </c>
    </row>
    <row r="6" spans="2:14" x14ac:dyDescent="0.3">
      <c r="B6" s="15" t="s">
        <v>67</v>
      </c>
      <c r="C6" s="17">
        <f>'Monthly Data'!O27</f>
        <v>5734</v>
      </c>
      <c r="D6" s="17">
        <f>'Monthly Data'!O26</f>
        <v>4794</v>
      </c>
      <c r="E6" s="17">
        <f t="shared" si="0"/>
        <v>940</v>
      </c>
      <c r="F6" s="20">
        <f t="shared" si="1"/>
        <v>0.19607843137254902</v>
      </c>
    </row>
    <row r="7" spans="2:14" x14ac:dyDescent="0.3">
      <c r="B7" s="15" t="s">
        <v>68</v>
      </c>
      <c r="C7" s="18">
        <f>'Monthly Data'!O32</f>
        <v>-1393</v>
      </c>
      <c r="D7" s="17">
        <f>'Monthly Data'!O31</f>
        <v>593</v>
      </c>
      <c r="E7" s="18">
        <f t="shared" si="0"/>
        <v>-1986</v>
      </c>
      <c r="F7" s="19">
        <f t="shared" si="1"/>
        <v>-3.3490725126475547</v>
      </c>
    </row>
    <row r="8" spans="2:14" x14ac:dyDescent="0.3">
      <c r="B8" s="15" t="s">
        <v>69</v>
      </c>
      <c r="C8" s="17">
        <f>'Monthly Data'!N37</f>
        <v>808</v>
      </c>
      <c r="D8" s="17">
        <f>'Monthly Data'!N36</f>
        <v>2792</v>
      </c>
      <c r="E8" s="18">
        <f t="shared" si="0"/>
        <v>-1984</v>
      </c>
      <c r="F8" s="19">
        <f t="shared" si="1"/>
        <v>-0.71060171919770776</v>
      </c>
    </row>
    <row r="9" spans="2:14" x14ac:dyDescent="0.3">
      <c r="B9" s="15" t="s">
        <v>70</v>
      </c>
      <c r="C9" s="21">
        <f>'Monthly Data'!N39</f>
        <v>62</v>
      </c>
      <c r="D9" s="21">
        <f>'Monthly Data'!N38</f>
        <v>55</v>
      </c>
      <c r="E9" s="22">
        <f t="shared" si="0"/>
        <v>7</v>
      </c>
      <c r="F9" s="20">
        <f>E9/D9</f>
        <v>0.12727272727272726</v>
      </c>
    </row>
    <row r="10" spans="2:14" x14ac:dyDescent="0.3">
      <c r="B10" s="23" t="s">
        <v>71</v>
      </c>
    </row>
    <row r="11" spans="2:14" x14ac:dyDescent="0.3">
      <c r="B11" s="24" t="s">
        <v>72</v>
      </c>
    </row>
    <row r="12" spans="2:14" x14ac:dyDescent="0.3">
      <c r="B12" s="50" t="s">
        <v>128</v>
      </c>
      <c r="C12" s="51"/>
      <c r="D12" s="51"/>
      <c r="E12" s="51"/>
      <c r="F12" s="51"/>
      <c r="G12" s="51"/>
    </row>
    <row r="13" spans="2:14" x14ac:dyDescent="0.3">
      <c r="B13" s="50" t="s">
        <v>129</v>
      </c>
      <c r="C13" s="51"/>
      <c r="D13" s="51"/>
      <c r="E13" s="51"/>
      <c r="F13" s="51"/>
      <c r="G13" s="51"/>
    </row>
    <row r="14" spans="2:14" x14ac:dyDescent="0.3">
      <c r="B14" s="50" t="s">
        <v>130</v>
      </c>
      <c r="C14" s="51"/>
      <c r="D14" s="51"/>
      <c r="E14" s="51"/>
      <c r="F14" s="51"/>
      <c r="G14" s="51"/>
    </row>
    <row r="15" spans="2:14" x14ac:dyDescent="0.3">
      <c r="B15" s="50" t="s">
        <v>131</v>
      </c>
      <c r="C15" s="51"/>
      <c r="D15" s="51"/>
      <c r="E15" s="51"/>
      <c r="F15" s="51"/>
      <c r="G15" s="51"/>
    </row>
    <row r="16" spans="2:14" x14ac:dyDescent="0.3">
      <c r="B16" s="50" t="s">
        <v>132</v>
      </c>
      <c r="C16" s="51"/>
      <c r="D16" s="51"/>
      <c r="E16" s="51"/>
      <c r="F16" s="51"/>
      <c r="G16" s="51"/>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N18"/>
  <sheetViews>
    <sheetView showGridLines="0" zoomScale="90" zoomScaleNormal="90" workbookViewId="0">
      <selection activeCell="B15" sqref="B15"/>
    </sheetView>
  </sheetViews>
  <sheetFormatPr defaultColWidth="8.6640625" defaultRowHeight="14.4" x14ac:dyDescent="0.3"/>
  <cols>
    <col min="2" max="2" width="51.21875" customWidth="1"/>
    <col min="3" max="3" width="17.33203125" customWidth="1"/>
    <col min="5" max="5" width="32.109375" customWidth="1"/>
  </cols>
  <sheetData>
    <row r="2" spans="2:14" x14ac:dyDescent="0.3">
      <c r="B2" s="13" t="s">
        <v>73</v>
      </c>
      <c r="C2" s="4"/>
      <c r="D2" s="4"/>
      <c r="E2" s="4"/>
      <c r="F2" s="4"/>
      <c r="G2" s="4"/>
      <c r="H2" s="4"/>
      <c r="I2" s="4"/>
      <c r="J2" s="4"/>
      <c r="K2" s="4"/>
      <c r="L2" s="4"/>
      <c r="M2" s="4"/>
      <c r="N2" s="4"/>
    </row>
    <row r="3" spans="2:14" x14ac:dyDescent="0.3">
      <c r="B3" s="33" t="s">
        <v>74</v>
      </c>
      <c r="C3" s="33" t="s">
        <v>75</v>
      </c>
    </row>
    <row r="4" spans="2:14" x14ac:dyDescent="0.3">
      <c r="B4" s="15" t="s">
        <v>76</v>
      </c>
      <c r="C4" s="17">
        <f>'Monthly Data'!O31</f>
        <v>593</v>
      </c>
    </row>
    <row r="5" spans="2:14" ht="15" customHeight="1" x14ac:dyDescent="0.3">
      <c r="B5" s="15" t="s">
        <v>77</v>
      </c>
      <c r="C5" s="17">
        <f>('Monthly Data'!O6-'Monthly Data'!O5)*'Monthly Data'!O11</f>
        <v>-658.00000000000011</v>
      </c>
      <c r="E5" s="25"/>
    </row>
    <row r="6" spans="2:14" ht="15" customHeight="1" x14ac:dyDescent="0.3">
      <c r="B6" s="15" t="s">
        <v>78</v>
      </c>
      <c r="C6" s="17">
        <f>('Monthly Data'!O14-'Monthly Data'!O13)-C5</f>
        <v>-387.99999999999989</v>
      </c>
      <c r="E6" s="25"/>
    </row>
    <row r="7" spans="2:14" ht="15" customHeight="1" x14ac:dyDescent="0.3">
      <c r="B7" s="15" t="s">
        <v>79</v>
      </c>
      <c r="C7" s="17">
        <f>-('Monthly Data'!O21-'Monthly Data'!O20)</f>
        <v>-453</v>
      </c>
      <c r="E7" s="25"/>
    </row>
    <row r="8" spans="2:14" ht="15" customHeight="1" x14ac:dyDescent="0.3">
      <c r="B8" s="15" t="s">
        <v>80</v>
      </c>
      <c r="C8" s="17">
        <f>-('Monthly Data'!O19-'Monthly Data'!O18)</f>
        <v>-388</v>
      </c>
      <c r="E8" s="25"/>
    </row>
    <row r="9" spans="2:14" ht="15" customHeight="1" x14ac:dyDescent="0.3">
      <c r="B9" s="15" t="s">
        <v>81</v>
      </c>
      <c r="C9" s="17">
        <f>-('Monthly Data'!O23-'Monthly Data'!O22)</f>
        <v>-36</v>
      </c>
      <c r="E9" s="25"/>
    </row>
    <row r="10" spans="2:14" ht="15" customHeight="1" x14ac:dyDescent="0.3">
      <c r="B10" s="15" t="s">
        <v>82</v>
      </c>
      <c r="C10" s="17">
        <f>-('Monthly Data'!O25-'Monthly Data'!O24)</f>
        <v>-63</v>
      </c>
      <c r="E10" s="25"/>
    </row>
    <row r="11" spans="2:14" x14ac:dyDescent="0.3">
      <c r="B11" s="15" t="s">
        <v>83</v>
      </c>
      <c r="C11" s="17">
        <f>SUM(C4:C10)</f>
        <v>-1393</v>
      </c>
    </row>
    <row r="12" spans="2:14" x14ac:dyDescent="0.3">
      <c r="B12" s="34" t="s">
        <v>108</v>
      </c>
      <c r="C12" s="35">
        <f>C11-'Section 1'!C7</f>
        <v>0</v>
      </c>
    </row>
    <row r="13" spans="2:14" x14ac:dyDescent="0.3">
      <c r="B13" s="24" t="s">
        <v>72</v>
      </c>
    </row>
    <row r="14" spans="2:14" x14ac:dyDescent="0.3">
      <c r="B14" s="50" t="s">
        <v>124</v>
      </c>
      <c r="C14" s="51"/>
      <c r="D14" s="51"/>
      <c r="E14" s="51"/>
    </row>
    <row r="15" spans="2:14" x14ac:dyDescent="0.3">
      <c r="B15" s="50" t="s">
        <v>133</v>
      </c>
      <c r="C15" s="51"/>
      <c r="D15" s="51"/>
      <c r="E15" s="51"/>
    </row>
    <row r="16" spans="2:14" x14ac:dyDescent="0.3">
      <c r="B16" s="50" t="s">
        <v>125</v>
      </c>
      <c r="C16" s="51"/>
      <c r="D16" s="51"/>
      <c r="E16" s="51"/>
    </row>
    <row r="17" spans="2:5" x14ac:dyDescent="0.3">
      <c r="B17" s="50" t="s">
        <v>126</v>
      </c>
      <c r="C17" s="51"/>
      <c r="D17" s="51"/>
      <c r="E17" s="51"/>
    </row>
    <row r="18" spans="2:5" x14ac:dyDescent="0.3">
      <c r="B18" s="50" t="s">
        <v>127</v>
      </c>
      <c r="C18" s="51"/>
      <c r="D18" s="51"/>
      <c r="E18" s="51"/>
    </row>
  </sheetData>
  <conditionalFormatting sqref="C5:C11">
    <cfRule type="cellIs" dxfId="1" priority="1" operator="lessThan">
      <formula>0</formula>
    </cfRule>
    <cfRule type="cellIs" dxfId="0" priority="2" operator="lessThan">
      <formula>"($703)"</formula>
    </cfRule>
  </conditionalFormatting>
  <pageMargins left="0.7" right="0.7" top="0.75" bottom="0.75" header="0.511811023622047" footer="0.511811023622047"/>
  <pageSetup paperSize="9" orientation="portrait" horizontalDpi="300" verticalDpi="300"/>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O31"/>
  <sheetViews>
    <sheetView showGridLines="0" zoomScaleNormal="100" workbookViewId="0">
      <selection activeCell="B9" sqref="B9:N10"/>
    </sheetView>
  </sheetViews>
  <sheetFormatPr defaultColWidth="8.6640625" defaultRowHeight="14.4" x14ac:dyDescent="0.3"/>
  <cols>
    <col min="2" max="2" width="43.77734375" customWidth="1"/>
  </cols>
  <sheetData>
    <row r="2" spans="2:15" x14ac:dyDescent="0.3">
      <c r="B2" s="13" t="s">
        <v>84</v>
      </c>
      <c r="C2" s="4"/>
      <c r="D2" s="4"/>
      <c r="E2" s="4"/>
      <c r="F2" s="4"/>
      <c r="G2" s="4"/>
      <c r="H2" s="4"/>
      <c r="I2" s="4"/>
      <c r="J2" s="4"/>
      <c r="K2" s="4"/>
      <c r="L2" s="4"/>
      <c r="M2" s="4"/>
      <c r="N2" s="4"/>
    </row>
    <row r="3" spans="2:15" x14ac:dyDescent="0.3">
      <c r="B3" s="14" t="s">
        <v>17</v>
      </c>
      <c r="C3" s="14" t="s">
        <v>18</v>
      </c>
      <c r="D3" s="14" t="s">
        <v>19</v>
      </c>
      <c r="E3" s="14" t="s">
        <v>20</v>
      </c>
      <c r="F3" s="14" t="s">
        <v>21</v>
      </c>
      <c r="G3" s="14" t="s">
        <v>22</v>
      </c>
      <c r="H3" s="14" t="s">
        <v>23</v>
      </c>
      <c r="I3" s="14" t="s">
        <v>24</v>
      </c>
      <c r="J3" s="14" t="s">
        <v>25</v>
      </c>
      <c r="K3" s="14" t="s">
        <v>26</v>
      </c>
      <c r="L3" s="14" t="s">
        <v>27</v>
      </c>
      <c r="M3" s="14" t="s">
        <v>28</v>
      </c>
      <c r="N3" s="14" t="s">
        <v>29</v>
      </c>
    </row>
    <row r="4" spans="2:15" x14ac:dyDescent="0.3">
      <c r="B4" s="15" t="s">
        <v>85</v>
      </c>
      <c r="C4" s="17">
        <f>'Monthly Data'!C5</f>
        <v>480</v>
      </c>
      <c r="D4" s="17">
        <f>'Monthly Data'!D5</f>
        <v>505</v>
      </c>
      <c r="E4" s="17">
        <f>'Monthly Data'!E5</f>
        <v>530</v>
      </c>
      <c r="F4" s="17">
        <f>'Monthly Data'!F5</f>
        <v>555</v>
      </c>
      <c r="G4" s="17">
        <f>'Monthly Data'!G5</f>
        <v>570</v>
      </c>
      <c r="H4" s="17">
        <f>'Monthly Data'!H5</f>
        <v>605</v>
      </c>
      <c r="I4" s="17">
        <f>'Monthly Data'!I5</f>
        <v>640</v>
      </c>
      <c r="J4" s="17">
        <f>'Monthly Data'!J5</f>
        <v>680</v>
      </c>
      <c r="K4" s="17">
        <f>'Monthly Data'!K5</f>
        <v>720</v>
      </c>
      <c r="L4" s="17">
        <f>'Monthly Data'!L5</f>
        <v>760</v>
      </c>
      <c r="M4" s="17">
        <f>'Monthly Data'!M5</f>
        <v>800</v>
      </c>
      <c r="N4" s="17">
        <f>'Monthly Data'!N5</f>
        <v>850</v>
      </c>
    </row>
    <row r="5" spans="2:15" x14ac:dyDescent="0.3">
      <c r="B5" s="15" t="s">
        <v>86</v>
      </c>
      <c r="C5" s="17">
        <f>'Monthly Data'!C6</f>
        <v>475</v>
      </c>
      <c r="D5" s="17">
        <f>'Monthly Data'!D6</f>
        <v>495</v>
      </c>
      <c r="E5" s="17">
        <f>'Monthly Data'!E6</f>
        <v>515</v>
      </c>
      <c r="F5" s="17">
        <f>'Monthly Data'!F6</f>
        <v>530</v>
      </c>
      <c r="G5" s="17">
        <f>'Monthly Data'!G6</f>
        <v>540</v>
      </c>
      <c r="H5" s="17">
        <f>'Monthly Data'!H6</f>
        <v>555</v>
      </c>
      <c r="I5" s="17">
        <f>'Monthly Data'!I6</f>
        <v>570</v>
      </c>
      <c r="J5" s="17">
        <f>'Monthly Data'!J6</f>
        <v>580</v>
      </c>
      <c r="K5" s="17">
        <f>'Monthly Data'!K6</f>
        <v>600</v>
      </c>
      <c r="L5" s="17">
        <f>'Monthly Data'!L6</f>
        <v>615</v>
      </c>
      <c r="M5" s="17">
        <f>'Monthly Data'!M6</f>
        <v>630</v>
      </c>
      <c r="N5" s="17">
        <f>'Monthly Data'!N6</f>
        <v>650</v>
      </c>
    </row>
    <row r="6" spans="2:15" x14ac:dyDescent="0.3">
      <c r="B6" s="15" t="s">
        <v>87</v>
      </c>
      <c r="C6" s="17">
        <f>'Monthly Data'!C7</f>
        <v>342</v>
      </c>
      <c r="D6" s="17">
        <f>'Monthly Data'!D7</f>
        <v>356</v>
      </c>
      <c r="E6" s="17">
        <f>'Monthly Data'!E7</f>
        <v>371</v>
      </c>
      <c r="F6" s="17">
        <f>'Monthly Data'!F7</f>
        <v>382</v>
      </c>
      <c r="G6" s="17">
        <f>'Monthly Data'!G7</f>
        <v>389</v>
      </c>
      <c r="H6" s="17">
        <f>'Monthly Data'!H7</f>
        <v>400</v>
      </c>
      <c r="I6" s="17">
        <f>'Monthly Data'!I7</f>
        <v>410</v>
      </c>
      <c r="J6" s="17">
        <f>'Monthly Data'!J7</f>
        <v>418</v>
      </c>
      <c r="K6" s="17">
        <f>'Monthly Data'!K7</f>
        <v>432</v>
      </c>
      <c r="L6" s="17">
        <f>'Monthly Data'!L7</f>
        <v>443</v>
      </c>
      <c r="M6" s="17">
        <f>'Monthly Data'!M7</f>
        <v>454</v>
      </c>
      <c r="N6" s="17">
        <f>'Monthly Data'!N7</f>
        <v>468</v>
      </c>
      <c r="O6" s="16"/>
    </row>
    <row r="7" spans="2:15" x14ac:dyDescent="0.3">
      <c r="B7" s="15" t="s">
        <v>88</v>
      </c>
      <c r="C7" s="17">
        <f>C5-C4</f>
        <v>-5</v>
      </c>
      <c r="D7" s="17">
        <f t="shared" ref="D7:N7" si="0">D5-D4</f>
        <v>-10</v>
      </c>
      <c r="E7" s="17">
        <f t="shared" si="0"/>
        <v>-15</v>
      </c>
      <c r="F7" s="17">
        <f t="shared" si="0"/>
        <v>-25</v>
      </c>
      <c r="G7" s="17">
        <f t="shared" si="0"/>
        <v>-30</v>
      </c>
      <c r="H7" s="17">
        <f t="shared" si="0"/>
        <v>-50</v>
      </c>
      <c r="I7" s="17">
        <f t="shared" si="0"/>
        <v>-70</v>
      </c>
      <c r="J7" s="17">
        <f t="shared" si="0"/>
        <v>-100</v>
      </c>
      <c r="K7" s="17">
        <f t="shared" si="0"/>
        <v>-120</v>
      </c>
      <c r="L7" s="17">
        <f t="shared" si="0"/>
        <v>-145</v>
      </c>
      <c r="M7" s="17">
        <f t="shared" si="0"/>
        <v>-170</v>
      </c>
      <c r="N7" s="17">
        <f t="shared" si="0"/>
        <v>-200</v>
      </c>
    </row>
    <row r="8" spans="2:15" x14ac:dyDescent="0.3">
      <c r="B8" s="15" t="s">
        <v>89</v>
      </c>
      <c r="C8" s="37">
        <f>C7/C4</f>
        <v>-1.0416666666666666E-2</v>
      </c>
      <c r="D8" s="28">
        <f t="shared" ref="D8:G8" si="1">D7/D4</f>
        <v>-1.9801980198019802E-2</v>
      </c>
      <c r="E8" s="28">
        <f t="shared" si="1"/>
        <v>-2.8301886792452831E-2</v>
      </c>
      <c r="F8" s="28">
        <f t="shared" si="1"/>
        <v>-4.5045045045045043E-2</v>
      </c>
      <c r="G8" s="28">
        <f t="shared" si="1"/>
        <v>-5.2631578947368418E-2</v>
      </c>
      <c r="H8" s="28">
        <f>H7/H4</f>
        <v>-8.2644628099173556E-2</v>
      </c>
      <c r="I8" s="28">
        <f t="shared" ref="I8" si="2">I7/I4</f>
        <v>-0.109375</v>
      </c>
      <c r="J8" s="28">
        <f t="shared" ref="J8" si="3">J7/J4</f>
        <v>-0.14705882352941177</v>
      </c>
      <c r="K8" s="28">
        <f>K7/K4</f>
        <v>-0.16666666666666666</v>
      </c>
      <c r="L8" s="28">
        <f t="shared" ref="L8" si="4">L7/L4</f>
        <v>-0.19078947368421054</v>
      </c>
      <c r="M8" s="28">
        <f t="shared" ref="M8" si="5">M7/M4</f>
        <v>-0.21249999999999999</v>
      </c>
      <c r="N8" s="28">
        <f>N7/N4</f>
        <v>-0.23529411764705882</v>
      </c>
    </row>
    <row r="9" spans="2:15" x14ac:dyDescent="0.3">
      <c r="B9" s="15" t="s">
        <v>90</v>
      </c>
      <c r="C9" s="17"/>
      <c r="D9" s="28">
        <f>(D5-C5)/C5</f>
        <v>4.2105263157894736E-2</v>
      </c>
      <c r="E9" s="28">
        <f t="shared" ref="E9:N9" si="6">(E5-D5)/D5</f>
        <v>4.0404040404040407E-2</v>
      </c>
      <c r="F9" s="28">
        <f t="shared" si="6"/>
        <v>2.9126213592233011E-2</v>
      </c>
      <c r="G9" s="28">
        <f t="shared" si="6"/>
        <v>1.8867924528301886E-2</v>
      </c>
      <c r="H9" s="28">
        <f t="shared" si="6"/>
        <v>2.7777777777777776E-2</v>
      </c>
      <c r="I9" s="28">
        <f t="shared" si="6"/>
        <v>2.7027027027027029E-2</v>
      </c>
      <c r="J9" s="28">
        <f t="shared" si="6"/>
        <v>1.7543859649122806E-2</v>
      </c>
      <c r="K9" s="28">
        <f t="shared" si="6"/>
        <v>3.4482758620689655E-2</v>
      </c>
      <c r="L9" s="28">
        <f t="shared" si="6"/>
        <v>2.5000000000000001E-2</v>
      </c>
      <c r="M9" s="28">
        <f t="shared" si="6"/>
        <v>2.4390243902439025E-2</v>
      </c>
      <c r="N9" s="28">
        <f t="shared" si="6"/>
        <v>3.1746031746031744E-2</v>
      </c>
    </row>
    <row r="10" spans="2:15" x14ac:dyDescent="0.3">
      <c r="B10" s="15" t="s">
        <v>91</v>
      </c>
      <c r="C10" s="28">
        <f>(C5-C6)/C6</f>
        <v>0.3888888888888889</v>
      </c>
      <c r="D10" s="28">
        <f t="shared" ref="D10:N10" si="7">(D5-D6)/D6</f>
        <v>0.3904494382022472</v>
      </c>
      <c r="E10" s="28">
        <f t="shared" si="7"/>
        <v>0.38814016172506738</v>
      </c>
      <c r="F10" s="28">
        <f t="shared" si="7"/>
        <v>0.38743455497382201</v>
      </c>
      <c r="G10" s="28">
        <f t="shared" si="7"/>
        <v>0.38817480719794345</v>
      </c>
      <c r="H10" s="28">
        <f t="shared" si="7"/>
        <v>0.38750000000000001</v>
      </c>
      <c r="I10" s="28">
        <f t="shared" si="7"/>
        <v>0.3902439024390244</v>
      </c>
      <c r="J10" s="28">
        <f t="shared" si="7"/>
        <v>0.38755980861244022</v>
      </c>
      <c r="K10" s="28">
        <f t="shared" si="7"/>
        <v>0.3888888888888889</v>
      </c>
      <c r="L10" s="28">
        <f t="shared" si="7"/>
        <v>0.38826185101580135</v>
      </c>
      <c r="M10" s="28">
        <f t="shared" si="7"/>
        <v>0.38766519823788548</v>
      </c>
      <c r="N10" s="28">
        <f t="shared" si="7"/>
        <v>0.3888888888888889</v>
      </c>
    </row>
    <row r="12" spans="2:15" x14ac:dyDescent="0.3">
      <c r="B12" s="24" t="s">
        <v>72</v>
      </c>
    </row>
    <row r="13" spans="2:15" x14ac:dyDescent="0.3">
      <c r="B13" s="50" t="s">
        <v>119</v>
      </c>
      <c r="C13" s="51"/>
      <c r="D13" s="51"/>
      <c r="E13" s="51"/>
      <c r="F13" s="51"/>
      <c r="G13" s="51"/>
      <c r="H13" s="51"/>
      <c r="I13" s="51"/>
      <c r="J13" s="51"/>
      <c r="K13" s="51"/>
      <c r="L13" s="51"/>
      <c r="M13" s="51"/>
      <c r="N13" s="51"/>
    </row>
    <row r="14" spans="2:15" x14ac:dyDescent="0.3">
      <c r="B14" s="50" t="s">
        <v>120</v>
      </c>
      <c r="C14" s="51"/>
      <c r="D14" s="51"/>
      <c r="E14" s="51"/>
      <c r="F14" s="51"/>
      <c r="G14" s="51"/>
      <c r="H14" s="51"/>
      <c r="I14" s="51"/>
      <c r="J14" s="51"/>
      <c r="K14" s="51"/>
      <c r="L14" s="51"/>
      <c r="M14" s="51"/>
      <c r="N14" s="51"/>
    </row>
    <row r="15" spans="2:15" x14ac:dyDescent="0.3">
      <c r="B15" s="50" t="s">
        <v>121</v>
      </c>
      <c r="C15" s="51"/>
      <c r="D15" s="51"/>
      <c r="E15" s="51"/>
      <c r="F15" s="51"/>
      <c r="G15" s="51"/>
      <c r="H15" s="51"/>
      <c r="I15" s="51"/>
      <c r="J15" s="51"/>
      <c r="K15" s="51"/>
      <c r="L15" s="51"/>
      <c r="M15" s="51"/>
      <c r="N15" s="51"/>
    </row>
    <row r="16" spans="2:15" x14ac:dyDescent="0.3">
      <c r="B16" s="50" t="s">
        <v>122</v>
      </c>
      <c r="C16" s="51"/>
      <c r="D16" s="51"/>
      <c r="E16" s="51"/>
      <c r="F16" s="51"/>
      <c r="G16" s="51"/>
      <c r="H16" s="51"/>
      <c r="I16" s="51"/>
      <c r="J16" s="51"/>
      <c r="K16" s="51"/>
      <c r="L16" s="51"/>
      <c r="M16" s="51"/>
      <c r="N16" s="51"/>
    </row>
    <row r="17" spans="2:14" x14ac:dyDescent="0.3">
      <c r="B17" s="50" t="s">
        <v>123</v>
      </c>
      <c r="C17" s="51"/>
      <c r="D17" s="51"/>
      <c r="E17" s="51"/>
      <c r="F17" s="51"/>
      <c r="G17" s="51"/>
      <c r="H17" s="51"/>
      <c r="I17" s="51"/>
      <c r="J17" s="51"/>
      <c r="K17" s="51"/>
      <c r="L17" s="51"/>
      <c r="M17" s="51"/>
      <c r="N17" s="51"/>
    </row>
    <row r="31" spans="2:14" x14ac:dyDescent="0.3">
      <c r="F31" t="s">
        <v>112</v>
      </c>
    </row>
  </sheetData>
  <pageMargins left="0.7" right="0.7" top="0.75" bottom="0.75"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O24"/>
  <sheetViews>
    <sheetView showGridLines="0" zoomScaleNormal="100" workbookViewId="0">
      <selection activeCell="D15" sqref="D15"/>
    </sheetView>
  </sheetViews>
  <sheetFormatPr defaultColWidth="8.6640625" defaultRowHeight="14.4" x14ac:dyDescent="0.3"/>
  <cols>
    <col min="2" max="2" width="42.5546875" customWidth="1"/>
    <col min="3" max="4" width="9.21875" customWidth="1"/>
    <col min="5" max="6" width="9.6640625" bestFit="1" customWidth="1"/>
    <col min="8" max="8" width="20" customWidth="1"/>
  </cols>
  <sheetData>
    <row r="2" spans="2:15" x14ac:dyDescent="0.3">
      <c r="B2" s="13" t="s">
        <v>92</v>
      </c>
      <c r="C2" s="4"/>
      <c r="D2" s="4"/>
      <c r="E2" s="4"/>
      <c r="F2" s="4"/>
      <c r="G2" s="4"/>
      <c r="H2" s="4"/>
      <c r="I2" s="4"/>
      <c r="J2" s="4"/>
      <c r="K2" s="4"/>
      <c r="L2" s="4"/>
      <c r="M2" s="4"/>
      <c r="N2" s="4"/>
      <c r="O2" s="4"/>
    </row>
    <row r="3" spans="2:15" x14ac:dyDescent="0.3">
      <c r="B3" s="14" t="s">
        <v>17</v>
      </c>
      <c r="C3" s="38" t="s">
        <v>29</v>
      </c>
      <c r="D3" s="14" t="s">
        <v>93</v>
      </c>
      <c r="E3" s="14" t="s">
        <v>94</v>
      </c>
      <c r="F3" s="14" t="s">
        <v>95</v>
      </c>
    </row>
    <row r="4" spans="2:15" x14ac:dyDescent="0.3">
      <c r="B4" s="17" t="s">
        <v>96</v>
      </c>
      <c r="C4" s="36">
        <f>'Monthly Data'!N6</f>
        <v>650</v>
      </c>
      <c r="D4" s="36">
        <f>C4*1.025</f>
        <v>666.24999999999989</v>
      </c>
      <c r="E4" s="36">
        <f>1.025*D4</f>
        <v>682.90624999999977</v>
      </c>
      <c r="F4" s="36">
        <f>1.025*E4</f>
        <v>699.97890624999968</v>
      </c>
      <c r="H4" s="16"/>
    </row>
    <row r="5" spans="2:15" x14ac:dyDescent="0.3">
      <c r="B5" s="17" t="s">
        <v>97</v>
      </c>
      <c r="C5" s="37">
        <f>'Monthly Data'!N12</f>
        <v>0.6</v>
      </c>
      <c r="D5" s="37">
        <f>C5</f>
        <v>0.6</v>
      </c>
      <c r="E5" s="37">
        <f>D5</f>
        <v>0.6</v>
      </c>
      <c r="F5" s="37">
        <f>E5</f>
        <v>0.6</v>
      </c>
    </row>
    <row r="6" spans="2:15" x14ac:dyDescent="0.3">
      <c r="B6" s="17" t="s">
        <v>66</v>
      </c>
      <c r="C6" s="36"/>
      <c r="D6" s="36">
        <f>D4*D5</f>
        <v>399.74999999999994</v>
      </c>
      <c r="E6" s="36">
        <f t="shared" ref="E6:F6" si="0">E4*E5</f>
        <v>409.74374999999986</v>
      </c>
      <c r="F6" s="36">
        <f t="shared" si="0"/>
        <v>419.98734374999981</v>
      </c>
    </row>
    <row r="7" spans="2:15" x14ac:dyDescent="0.3">
      <c r="B7" s="17" t="s">
        <v>98</v>
      </c>
      <c r="C7" s="36">
        <f>'Monthly Data'!N19</f>
        <v>320</v>
      </c>
      <c r="D7" s="36">
        <f>C7*1.01</f>
        <v>323.2</v>
      </c>
      <c r="E7" s="36">
        <f t="shared" ref="E7:F7" si="1">D7*1.01</f>
        <v>326.43200000000002</v>
      </c>
      <c r="F7" s="36">
        <f t="shared" si="1"/>
        <v>329.69632000000001</v>
      </c>
    </row>
    <row r="8" spans="2:15" x14ac:dyDescent="0.3">
      <c r="B8" s="17" t="s">
        <v>99</v>
      </c>
      <c r="C8" s="40"/>
      <c r="D8" s="40">
        <f t="shared" ref="D8:F8" si="2">D4*D9</f>
        <v>168.78333333333333</v>
      </c>
      <c r="E8" s="40">
        <f t="shared" si="2"/>
        <v>154.7920833333333</v>
      </c>
      <c r="F8" s="40">
        <f t="shared" si="2"/>
        <v>139.99578124999994</v>
      </c>
      <c r="G8" s="39"/>
    </row>
    <row r="9" spans="2:15" x14ac:dyDescent="0.3">
      <c r="B9" s="17" t="s">
        <v>100</v>
      </c>
      <c r="C9" s="40">
        <v>0.28000000000000003</v>
      </c>
      <c r="D9" s="40">
        <f>C9-(28%-20%)/3</f>
        <v>0.25333333333333335</v>
      </c>
      <c r="E9" s="40">
        <f t="shared" ref="E9:F9" si="3">D9-(28%-20%)/3</f>
        <v>0.22666666666666668</v>
      </c>
      <c r="F9" s="40">
        <f t="shared" si="3"/>
        <v>0.2</v>
      </c>
      <c r="H9" s="27"/>
    </row>
    <row r="10" spans="2:15" x14ac:dyDescent="0.3">
      <c r="B10" s="17" t="s">
        <v>101</v>
      </c>
      <c r="C10" s="36">
        <f>'Monthly Data'!N23</f>
        <v>29</v>
      </c>
      <c r="D10" s="36">
        <f>C10*1.026</f>
        <v>29.754000000000001</v>
      </c>
      <c r="E10" s="36">
        <f t="shared" ref="E10:F10" si="4">D10*1.026</f>
        <v>30.527604000000004</v>
      </c>
      <c r="F10" s="36">
        <f t="shared" si="4"/>
        <v>31.321321704000006</v>
      </c>
    </row>
    <row r="11" spans="2:15" x14ac:dyDescent="0.3">
      <c r="B11" s="17" t="s">
        <v>102</v>
      </c>
      <c r="C11" s="36">
        <f>'Monthly Data'!N25</f>
        <v>50</v>
      </c>
      <c r="D11" s="36">
        <f>C11*1.026</f>
        <v>51.300000000000004</v>
      </c>
      <c r="E11" s="36">
        <f t="shared" ref="E11:F11" si="5">D11*1.026</f>
        <v>52.633800000000008</v>
      </c>
      <c r="F11" s="36">
        <f t="shared" si="5"/>
        <v>54.002278800000006</v>
      </c>
      <c r="I11" s="16"/>
    </row>
    <row r="12" spans="2:15" x14ac:dyDescent="0.3">
      <c r="B12" s="17" t="s">
        <v>67</v>
      </c>
      <c r="C12" s="36"/>
      <c r="D12" s="36">
        <f>SUM(D7:D8:D10:D11)</f>
        <v>573.29066666666665</v>
      </c>
      <c r="E12" s="36">
        <f>SUM(E7:E8:E10:E11)</f>
        <v>564.61215399999992</v>
      </c>
      <c r="F12" s="36">
        <f>SUM(F7:F8:F10:F11)</f>
        <v>555.21570175399995</v>
      </c>
    </row>
    <row r="13" spans="2:15" x14ac:dyDescent="0.3">
      <c r="B13" s="17" t="s">
        <v>68</v>
      </c>
      <c r="C13" s="36"/>
      <c r="D13" s="36">
        <f>D6-D12</f>
        <v>-173.54066666666671</v>
      </c>
      <c r="E13" s="36">
        <f t="shared" ref="E13:F13" si="6">E6-E12</f>
        <v>-154.86840400000006</v>
      </c>
      <c r="F13" s="36">
        <f t="shared" si="6"/>
        <v>-135.22835800400014</v>
      </c>
    </row>
    <row r="15" spans="2:15" x14ac:dyDescent="0.3">
      <c r="C15" s="28"/>
      <c r="D15" s="28"/>
      <c r="E15" s="28"/>
      <c r="F15" s="28"/>
      <c r="H15" s="29"/>
    </row>
    <row r="16" spans="2:15" x14ac:dyDescent="0.3">
      <c r="B16" s="30"/>
    </row>
    <row r="17" spans="2:2" x14ac:dyDescent="0.3">
      <c r="B17" s="30"/>
    </row>
    <row r="18" spans="2:2" x14ac:dyDescent="0.3">
      <c r="B18" s="30"/>
    </row>
    <row r="19" spans="2:2" x14ac:dyDescent="0.3">
      <c r="B19" s="30"/>
    </row>
    <row r="20" spans="2:2" x14ac:dyDescent="0.3">
      <c r="B20" s="30"/>
    </row>
    <row r="21" spans="2:2" x14ac:dyDescent="0.3">
      <c r="B21" s="30"/>
    </row>
    <row r="22" spans="2:2" x14ac:dyDescent="0.3">
      <c r="B22" s="30"/>
    </row>
    <row r="23" spans="2:2" x14ac:dyDescent="0.3">
      <c r="B23" s="30"/>
    </row>
    <row r="24" spans="2:2" x14ac:dyDescent="0.3">
      <c r="B24" s="30"/>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N11"/>
  <sheetViews>
    <sheetView showGridLines="0" topLeftCell="B1" zoomScale="85" zoomScaleNormal="85" workbookViewId="0">
      <selection activeCell="B13" sqref="B13"/>
    </sheetView>
  </sheetViews>
  <sheetFormatPr defaultColWidth="8.6640625" defaultRowHeight="14.4" x14ac:dyDescent="0.3"/>
  <cols>
    <col min="1" max="1" width="2" customWidth="1"/>
    <col min="2" max="2" width="144" customWidth="1"/>
    <col min="3" max="3" width="23.44140625" customWidth="1"/>
  </cols>
  <sheetData>
    <row r="2" spans="2:14" ht="15" customHeight="1" x14ac:dyDescent="0.3">
      <c r="B2" s="13" t="s">
        <v>103</v>
      </c>
      <c r="C2" s="4"/>
      <c r="D2" s="4"/>
      <c r="E2" s="4"/>
      <c r="F2" s="4"/>
      <c r="G2" s="4"/>
      <c r="H2" s="4"/>
      <c r="I2" s="4"/>
      <c r="J2" s="4"/>
      <c r="K2" s="4"/>
      <c r="L2" s="4"/>
      <c r="M2" s="4"/>
      <c r="N2" s="4"/>
    </row>
    <row r="3" spans="2:14" ht="23.25" customHeight="1" thickBot="1" x14ac:dyDescent="0.35">
      <c r="B3" s="41" t="s">
        <v>104</v>
      </c>
      <c r="C3" s="42" t="s">
        <v>105</v>
      </c>
    </row>
    <row r="4" spans="2:14" x14ac:dyDescent="0.3">
      <c r="B4" s="43" t="s">
        <v>109</v>
      </c>
      <c r="C4" s="44">
        <v>150000</v>
      </c>
    </row>
    <row r="5" spans="2:14" x14ac:dyDescent="0.3">
      <c r="B5" s="43" t="s">
        <v>110</v>
      </c>
      <c r="C5" s="45">
        <v>180000</v>
      </c>
    </row>
    <row r="6" spans="2:14" x14ac:dyDescent="0.3">
      <c r="B6" s="43" t="s">
        <v>111</v>
      </c>
      <c r="C6" s="45">
        <v>100000</v>
      </c>
    </row>
    <row r="7" spans="2:14" x14ac:dyDescent="0.3">
      <c r="B7" s="30"/>
    </row>
    <row r="8" spans="2:14" x14ac:dyDescent="0.3">
      <c r="B8" s="30"/>
    </row>
    <row r="9" spans="2:14" x14ac:dyDescent="0.3">
      <c r="B9" s="13" t="s">
        <v>106</v>
      </c>
      <c r="C9" s="4"/>
      <c r="D9" s="4"/>
      <c r="E9" s="4"/>
      <c r="F9" s="4"/>
      <c r="G9" s="4"/>
      <c r="H9" s="4"/>
      <c r="I9" s="4"/>
      <c r="J9" s="4"/>
      <c r="K9" s="4"/>
      <c r="L9" s="4"/>
      <c r="M9" s="4"/>
    </row>
    <row r="10" spans="2:14" ht="19.95" customHeight="1" x14ac:dyDescent="0.3"/>
    <row r="11" spans="2:14" ht="43.2" x14ac:dyDescent="0.3">
      <c r="B11" s="46" t="s">
        <v>136</v>
      </c>
    </row>
  </sheetData>
  <pageMargins left="0.7" right="0.7" top="0.75" bottom="0.75"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N18"/>
  <sheetViews>
    <sheetView showGridLines="0" zoomScale="85" zoomScaleNormal="85" workbookViewId="0">
      <selection activeCell="B12" sqref="B12:D15"/>
    </sheetView>
  </sheetViews>
  <sheetFormatPr defaultColWidth="8.6640625" defaultRowHeight="14.4" x14ac:dyDescent="0.3"/>
  <cols>
    <col min="1" max="1" width="2" customWidth="1"/>
    <col min="2" max="2" width="61.5546875" customWidth="1"/>
    <col min="3" max="3" width="18.44140625" customWidth="1"/>
    <col min="4" max="4" width="29.77734375" customWidth="1"/>
  </cols>
  <sheetData>
    <row r="2" spans="2:14" x14ac:dyDescent="0.3">
      <c r="B2" s="13" t="s">
        <v>107</v>
      </c>
      <c r="C2" s="4"/>
      <c r="D2" s="4"/>
      <c r="E2" s="4"/>
      <c r="F2" s="4"/>
      <c r="G2" s="4"/>
      <c r="H2" s="4"/>
      <c r="I2" s="4"/>
      <c r="J2" s="4"/>
      <c r="K2" s="4"/>
      <c r="L2" s="4"/>
      <c r="M2" s="4"/>
      <c r="N2" s="4"/>
    </row>
    <row r="3" spans="2:14" x14ac:dyDescent="0.3">
      <c r="B3" s="31"/>
    </row>
    <row r="4" spans="2:14" x14ac:dyDescent="0.3">
      <c r="B4" s="24"/>
    </row>
    <row r="5" spans="2:14" x14ac:dyDescent="0.3">
      <c r="B5" s="33" t="s">
        <v>17</v>
      </c>
      <c r="C5" s="26" t="s">
        <v>114</v>
      </c>
      <c r="D5" s="26" t="s">
        <v>115</v>
      </c>
    </row>
    <row r="6" spans="2:14" x14ac:dyDescent="0.3">
      <c r="B6" s="17" t="s">
        <v>113</v>
      </c>
      <c r="C6" s="17">
        <f>'Monthly Data'!N37</f>
        <v>808</v>
      </c>
      <c r="D6" s="17"/>
    </row>
    <row r="7" spans="2:14" ht="15" customHeight="1" thickBot="1" x14ac:dyDescent="0.35">
      <c r="B7" t="s">
        <v>116</v>
      </c>
      <c r="C7" s="47">
        <f>AVERAGE('Monthly Data'!K37-'Monthly Data'!L37,'Monthly Data'!L37-'Monthly Data'!M37, 'Monthly Data'!M37-'Monthly Data'!N37)</f>
        <v>194</v>
      </c>
    </row>
    <row r="8" spans="2:14" ht="15" customHeight="1" thickBot="1" x14ac:dyDescent="0.35">
      <c r="B8" s="48" t="s">
        <v>117</v>
      </c>
      <c r="C8" s="53">
        <f>C6/C7</f>
        <v>4.1649484536082477</v>
      </c>
      <c r="D8" s="53"/>
    </row>
    <row r="9" spans="2:14" x14ac:dyDescent="0.3">
      <c r="B9" t="s">
        <v>118</v>
      </c>
      <c r="C9" s="49">
        <v>12</v>
      </c>
    </row>
    <row r="10" spans="2:14" ht="27.75" customHeight="1" x14ac:dyDescent="0.3">
      <c r="B10" s="32" t="s">
        <v>134</v>
      </c>
    </row>
    <row r="11" spans="2:14" ht="15" customHeight="1" x14ac:dyDescent="0.3"/>
    <row r="12" spans="2:14" x14ac:dyDescent="0.3">
      <c r="B12" s="52" t="s">
        <v>135</v>
      </c>
      <c r="C12" s="52"/>
      <c r="D12" s="52"/>
    </row>
    <row r="13" spans="2:14" x14ac:dyDescent="0.3">
      <c r="B13" s="52"/>
      <c r="C13" s="52"/>
      <c r="D13" s="52"/>
    </row>
    <row r="14" spans="2:14" x14ac:dyDescent="0.3">
      <c r="B14" s="52"/>
      <c r="C14" s="52"/>
      <c r="D14" s="52"/>
    </row>
    <row r="15" spans="2:14" ht="14.4" customHeight="1" x14ac:dyDescent="0.3">
      <c r="B15" s="52"/>
      <c r="C15" s="52"/>
      <c r="D15" s="52"/>
    </row>
    <row r="16" spans="2:14" ht="14.4" customHeight="1" x14ac:dyDescent="0.3"/>
    <row r="17" ht="14.4" customHeight="1" x14ac:dyDescent="0.3"/>
    <row r="18" ht="14.4" customHeight="1" x14ac:dyDescent="0.3"/>
  </sheetData>
  <mergeCells count="2">
    <mergeCell ref="B12:D15"/>
    <mergeCell ref="C8:D8"/>
  </mergeCells>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Monthly Data</vt:lpstr>
      <vt:lpstr>Section 1</vt:lpstr>
      <vt:lpstr>Section 2</vt:lpstr>
      <vt:lpstr>Section 3</vt:lpstr>
      <vt:lpstr>Section 4</vt:lpstr>
      <vt:lpstr>Section 5&amp;6</vt:lpstr>
      <vt:lpstr>Bonus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Jana Alzahrani</dc:creator>
  <dc:description/>
  <cp:lastModifiedBy>Aryam H. Alqarihi</cp:lastModifiedBy>
  <cp:revision>0</cp:revision>
  <dcterms:created xsi:type="dcterms:W3CDTF">2026-08-01T17:51:05Z</dcterms:created>
  <dcterms:modified xsi:type="dcterms:W3CDTF">2026-09-18T10:21:55Z</dcterms:modified>
  <dc:language>en-US</dc:language>
</cp:coreProperties>
</file>